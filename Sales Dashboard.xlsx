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a7b625a5f00eb1a7/Desktop/dashboard sales/"/>
    </mc:Choice>
  </mc:AlternateContent>
  <xr:revisionPtr revIDLastSave="26" documentId="13_ncr:1_{593CDDF5-3DE2-4231-994E-2070E96FD321}" xr6:coauthVersionLast="47" xr6:coauthVersionMax="47" xr10:uidLastSave="{04600F82-2101-479A-BC55-A4AA4E368013}"/>
  <bookViews>
    <workbookView xWindow="-110" yWindow="-110" windowWidth="19420" windowHeight="11500" activeTab="1" xr2:uid="{04386B9E-CDDF-4669-829D-1DCA4E9FDB86}"/>
  </bookViews>
  <sheets>
    <sheet name="Pivot Tables" sheetId="1" r:id="rId1"/>
    <sheet name="Dashboard" sheetId="3" r:id="rId2"/>
  </sheets>
  <definedNames>
    <definedName name="Slicer_BranchName">#N/A</definedName>
    <definedName name="Slicer_BrandName">#N/A</definedName>
    <definedName name="Slicer_Category">#N/A</definedName>
    <definedName name="Slicer_Month">#N/A</definedName>
  </definedNames>
  <calcPr calcId="191029"/>
  <pivotCaches>
    <pivotCache cacheId="524" r:id="rId3"/>
    <pivotCache cacheId="527" r:id="rId4"/>
    <pivotCache cacheId="530" r:id="rId5"/>
    <pivotCache cacheId="533" r:id="rId6"/>
    <pivotCache cacheId="536" r:id="rId7"/>
    <pivotCache cacheId="539" r:id="rId8"/>
    <pivotCache cacheId="542" r:id="rId9"/>
    <pivotCache cacheId="545" r:id="rId10"/>
  </pivotCaches>
  <extLst>
    <ext xmlns:x14="http://schemas.microsoft.com/office/spreadsheetml/2009/9/main" uri="{876F7934-8845-4945-9796-88D515C7AA90}">
      <x14:pivotCaches>
        <pivotCache cacheId="113"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es_aecb8da6-9125-4724-8ef1-a8a9391fcd39" name="Branches" connection="Query - Branches"/>
          <x15:modelTable id="Brands_6a15155c-e170-42c4-95e4-73faabde09da" name="Brands" connection="Query - Brands"/>
          <x15:modelTable id="Customers_e86cb877-b1d9-4c26-bc8d-f68132655231" name="Customers" connection="Query - Customers"/>
          <x15:modelTable id="PaymentMethods_55ca6da3-04b8-45ea-b43a-13e0bedad407" name="PaymentMethods" connection="Query - PaymentMethods"/>
          <x15:modelTable id="Products_8f52ec56-9673-4ef3-8728-f58c4404c83f" name="Products" connection="Query - Products"/>
          <x15:modelTable id="Sales All_30bfb3c4-7a2b-4685-af6b-dad21f684a6e" name="Sales All" connection="Query - Sales All"/>
          <x15:modelTable id="Calendar" name="Calendar" connection="Connection"/>
        </x15:modelTables>
        <x15:modelRelationships>
          <x15:modelRelationship fromTable="Products" fromColumn="Brand" toTable="Brands" toColumn="BrandName"/>
          <x15:modelRelationship fromTable="Sales All" fromColumn="BranchID" toTable="Branches" toColumn="BranchID"/>
          <x15:modelRelationship fromTable="Sales All" fromColumn="CustomerID" toTable="Customers" toColumn="CustomerID"/>
          <x15:modelRelationship fromTable="Sales All" fromColumn="PaymentMethod" toTable="PaymentMethods" toColumn="PaymentMethod"/>
          <x15:modelRelationship fromTable="Sales All" fromColumn="ProductID" toTable="Products" toColumn="ProductID"/>
          <x15:modelRelationship fromTable="Sales All"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872AC5-FC93-4550-896B-0913F563D4DB}" name="Connection" type="104" refreshedVersion="0" background="1">
    <extLst>
      <ext xmlns:x15="http://schemas.microsoft.com/office/spreadsheetml/2010/11/main" uri="{DE250136-89BD-433C-8126-D09CA5730AF9}">
        <x15:connection id="Calendar"/>
      </ext>
    </extLst>
  </connection>
  <connection id="2" xr16:uid="{43E7565F-7DD4-4C44-9DCC-A336826D52DD}" name="Query - Branches" description="Connection to the 'Branches' query in the workbook." type="100" refreshedVersion="8" minRefreshableVersion="5">
    <extLst>
      <ext xmlns:x15="http://schemas.microsoft.com/office/spreadsheetml/2010/11/main" uri="{DE250136-89BD-433C-8126-D09CA5730AF9}">
        <x15:connection id="92220a27-b7f4-4f42-9023-f6d4965f0351">
          <x15:oledbPr connection="Provider=Microsoft.Mashup.OleDb.1;Data Source=$Workbook$;Location=Branches;Extended Properties=&quot;&quot;">
            <x15:dbTables>
              <x15:dbTable name="Branches"/>
            </x15:dbTables>
          </x15:oledbPr>
        </x15:connection>
      </ext>
    </extLst>
  </connection>
  <connection id="3" xr16:uid="{B79CC3C3-20E1-475F-8BF1-6385F539D9DE}" name="Query - Brands" description="Connection to the 'Brands' query in the workbook." type="100" refreshedVersion="8" minRefreshableVersion="5">
    <extLst>
      <ext xmlns:x15="http://schemas.microsoft.com/office/spreadsheetml/2010/11/main" uri="{DE250136-89BD-433C-8126-D09CA5730AF9}">
        <x15:connection id="b3037305-bb6f-49f0-b32d-e17b5638964d">
          <x15:oledbPr connection="Provider=Microsoft.Mashup.OleDb.1;Data Source=$Workbook$;Location=Brands;Extended Properties=&quot;&quot;">
            <x15:dbTables>
              <x15:dbTable name="Brands"/>
            </x15:dbTables>
          </x15:oledbPr>
        </x15:connection>
      </ext>
    </extLst>
  </connection>
  <connection id="4" xr16:uid="{EDDBFD3B-9E6D-46DF-8A57-7BC48B125623}" name="Query - Customers" description="Connection to the 'Customers' query in the workbook." type="100" refreshedVersion="8" minRefreshableVersion="5">
    <extLst>
      <ext xmlns:x15="http://schemas.microsoft.com/office/spreadsheetml/2010/11/main" uri="{DE250136-89BD-433C-8126-D09CA5730AF9}">
        <x15:connection id="c2c6c901-b34b-471b-842c-9fea6c786f8f">
          <x15:oledbPr connection="Provider=Microsoft.Mashup.OleDb.1;Data Source=$Workbook$;Location=Customers;Extended Properties=&quot;&quot;">
            <x15:dbTables>
              <x15:dbTable name="Customers"/>
            </x15:dbTables>
          </x15:oledbPr>
        </x15:connection>
      </ext>
    </extLst>
  </connection>
  <connection id="5" xr16:uid="{CFA55985-FA1F-483F-BEBC-FF3127DC148F}" name="Query - PaymentMethods" description="Connection to the 'PaymentMethods' query in the workbook." type="100" refreshedVersion="8" minRefreshableVersion="5">
    <extLst>
      <ext xmlns:x15="http://schemas.microsoft.com/office/spreadsheetml/2010/11/main" uri="{DE250136-89BD-433C-8126-D09CA5730AF9}">
        <x15:connection id="05504a69-bf46-47be-95d8-f45b560787fe">
          <x15:oledbPr connection="Provider=Microsoft.Mashup.OleDb.1;Data Source=$Workbook$;Location=PaymentMethods;Extended Properties=&quot;&quot;">
            <x15:dbTables>
              <x15:dbTable name="PaymentMethods"/>
            </x15:dbTables>
          </x15:oledbPr>
        </x15:connection>
      </ext>
    </extLst>
  </connection>
  <connection id="6" xr16:uid="{A29D386D-2F2A-4DE8-A412-FDA3498E86F3}" name="Query - Products" description="Connection to the 'Products' query in the workbook." type="100" refreshedVersion="8" minRefreshableVersion="5">
    <extLst>
      <ext xmlns:x15="http://schemas.microsoft.com/office/spreadsheetml/2010/11/main" uri="{DE250136-89BD-433C-8126-D09CA5730AF9}">
        <x15:connection id="ff31a5fd-b811-4cfe-acf4-bd5c770a9330"/>
      </ext>
    </extLst>
  </connection>
  <connection id="7" xr16:uid="{7184D597-F50F-4F84-8181-34DE8916FFC7}" keepAlive="1" name="Query - Sales 2023" description="Connection to the 'Sales 2023' query in the workbook." type="5" refreshedVersion="0" background="1">
    <dbPr connection="Provider=Microsoft.Mashup.OleDb.1;Data Source=$Workbook$;Location=&quot;Sales 2023&quot;;Extended Properties=&quot;&quot;" command="SELECT * FROM [Sales 2023]"/>
  </connection>
  <connection id="8" xr16:uid="{31A0CC41-ADE1-47C0-9DD6-1AF11CF52247}" keepAlive="1" name="Query - Sales 2024" description="Connection to the 'Sales 2024' query in the workbook." type="5" refreshedVersion="0" background="1">
    <dbPr connection="Provider=Microsoft.Mashup.OleDb.1;Data Source=$Workbook$;Location=&quot;Sales 2024&quot;;Extended Properties=&quot;&quot;" command="SELECT * FROM [Sales 2024]"/>
  </connection>
  <connection id="9" xr16:uid="{F9510EB6-D33D-47F2-A129-73A265580944}" name="Query - Sales All" description="Connection to the 'Sales All' query in the workbook." type="100" refreshedVersion="8" minRefreshableVersion="5">
    <extLst>
      <ext xmlns:x15="http://schemas.microsoft.com/office/spreadsheetml/2010/11/main" uri="{DE250136-89BD-433C-8126-D09CA5730AF9}">
        <x15:connection id="ea1acec1-ca4b-4e6a-a3a3-7658b39161bc">
          <x15:oledbPr connection="Provider=Microsoft.Mashup.OleDb.1;Data Source=$Workbook$;Location=&quot;Sales All&quot;;Extended Properties=&quot;&quot;">
            <x15:dbTables>
              <x15:dbTable name="Sales All"/>
            </x15:dbTables>
          </x15:oledbPr>
        </x15:connection>
      </ext>
    </extLst>
  </connection>
  <connection id="10" xr16:uid="{10EFA5BD-54D7-47B6-B0EA-8B94D05014A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<sst xmlns="http://schemas.openxmlformats.org/spreadsheetml/2006/main" count="63" uniqueCount="37">
  <si>
    <t>Row Labels</t>
  </si>
  <si>
    <t>Brand A</t>
  </si>
  <si>
    <t>Brand B</t>
  </si>
  <si>
    <t>Brand C</t>
  </si>
  <si>
    <t>Brand D</t>
  </si>
  <si>
    <t>Brand E</t>
  </si>
  <si>
    <t>Grand Total</t>
  </si>
  <si>
    <t>Total sales</t>
  </si>
  <si>
    <t>Credit Card</t>
  </si>
  <si>
    <t>Beauty</t>
  </si>
  <si>
    <t>Electronics</t>
  </si>
  <si>
    <t>Fashion</t>
  </si>
  <si>
    <t>Home</t>
  </si>
  <si>
    <t>Sports</t>
  </si>
  <si>
    <t>January</t>
  </si>
  <si>
    <t>February</t>
  </si>
  <si>
    <t>March</t>
  </si>
  <si>
    <t>April</t>
  </si>
  <si>
    <t>May</t>
  </si>
  <si>
    <t>June</t>
  </si>
  <si>
    <t>July</t>
  </si>
  <si>
    <t>August</t>
  </si>
  <si>
    <t>September</t>
  </si>
  <si>
    <t>October</t>
  </si>
  <si>
    <t>November</t>
  </si>
  <si>
    <t>December</t>
  </si>
  <si>
    <t>Branch 1</t>
  </si>
  <si>
    <t>Branch 2</t>
  </si>
  <si>
    <t>Branch 3</t>
  </si>
  <si>
    <t>Branch 4</t>
  </si>
  <si>
    <t>Branch 5</t>
  </si>
  <si>
    <t>Bank Transfer</t>
  </si>
  <si>
    <t>Cash</t>
  </si>
  <si>
    <t>PayPal</t>
  </si>
  <si>
    <t>Category</t>
  </si>
  <si>
    <t>BrandName</t>
  </si>
  <si>
    <t>Active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</si>
</sst>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E9F7FD"/>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0" borderId="0" xfId="0" applyNumberFormat="1"/>
  </cellXfs>
  <cellStyles count="1">
    <cellStyle name="Normal" xfId="0" builtinId="0"/>
  </cellStyles>
  <dxfs count="0"/>
  <tableStyles count="1" defaultTableStyle="TableStyleMedium2" defaultPivotStyle="PivotStyleLight16">
    <tableStyle name="Invisible" pivot="0" table="0" count="0" xr9:uid="{5F38888F-4EA5-43D5-AA7E-6E406325B143}"/>
  </tableStyles>
  <colors>
    <mruColors>
      <color rgb="FFE9F7FD"/>
      <color rgb="FFFAEC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6.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5.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pivotCacheDefinition" Target="pivotCache/pivotCacheDefinition3.xml"/><Relationship Id="rId15" Type="http://schemas.microsoft.com/office/2007/relationships/slicerCache" Target="slicerCaches/slicerCache4.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rgbClr val="0070C0"/>
                </a:solidFill>
                <a:latin typeface="Angsana New" panose="02020603050405020304" pitchFamily="18" charset="-34"/>
                <a:cs typeface="Angsana New" panose="02020603050405020304" pitchFamily="18" charset="-34"/>
              </a:rPr>
              <a:t>Sales By Branch</a:t>
            </a:r>
          </a:p>
        </c:rich>
      </c:tx>
      <c:layout>
        <c:manualLayout>
          <c:xMode val="edge"/>
          <c:yMode val="edge"/>
          <c:x val="0.3308909877218435"/>
          <c:y val="2.234973076280489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775138325839957E-2"/>
          <c:y val="0.18561707913695599"/>
          <c:w val="0.68308166478150778"/>
          <c:h val="0.78776697678083718"/>
        </c:manualLayout>
      </c:layout>
      <c:barChart>
        <c:barDir val="bar"/>
        <c:grouping val="clustered"/>
        <c:varyColors val="0"/>
        <c:ser>
          <c:idx val="0"/>
          <c:order val="0"/>
          <c:tx>
            <c:strRef>
              <c:f>'Pivot Tables'!$R$2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Tables'!$Q$3:$Q$8</c:f>
              <c:strCache>
                <c:ptCount val="5"/>
                <c:pt idx="0">
                  <c:v>Branch 5</c:v>
                </c:pt>
                <c:pt idx="1">
                  <c:v>Branch 2</c:v>
                </c:pt>
                <c:pt idx="2">
                  <c:v>Branch 1</c:v>
                </c:pt>
                <c:pt idx="3">
                  <c:v>Branch 4</c:v>
                </c:pt>
                <c:pt idx="4">
                  <c:v>Branch 3</c:v>
                </c:pt>
              </c:strCache>
            </c:strRef>
          </c:cat>
          <c:val>
            <c:numRef>
              <c:f>'Pivot Tables'!$R$3:$R$8</c:f>
              <c:numCache>
                <c:formatCode>General</c:formatCode>
                <c:ptCount val="5"/>
                <c:pt idx="0">
                  <c:v>182583.18</c:v>
                </c:pt>
                <c:pt idx="1">
                  <c:v>186559.72</c:v>
                </c:pt>
                <c:pt idx="2">
                  <c:v>199602.78</c:v>
                </c:pt>
                <c:pt idx="3">
                  <c:v>200794.31</c:v>
                </c:pt>
                <c:pt idx="4">
                  <c:v>205153.17</c:v>
                </c:pt>
              </c:numCache>
            </c:numRef>
          </c:val>
          <c:extLst>
            <c:ext xmlns:c16="http://schemas.microsoft.com/office/drawing/2014/chart" uri="{C3380CC4-5D6E-409C-BE32-E72D297353CC}">
              <c16:uniqueId val="{00000000-197B-43AB-804C-F20EC0B0AB9E}"/>
            </c:ext>
          </c:extLst>
        </c:ser>
        <c:dLbls>
          <c:dLblPos val="outEnd"/>
          <c:showLegendKey val="0"/>
          <c:showVal val="1"/>
          <c:showCatName val="0"/>
          <c:showSerName val="0"/>
          <c:showPercent val="0"/>
          <c:showBubbleSize val="0"/>
        </c:dLbls>
        <c:gapWidth val="182"/>
        <c:axId val="1691222655"/>
        <c:axId val="1691224095"/>
      </c:barChart>
      <c:catAx>
        <c:axId val="1691222655"/>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224095"/>
        <c:crosses val="autoZero"/>
        <c:auto val="1"/>
        <c:lblAlgn val="ctr"/>
        <c:lblOffset val="100"/>
        <c:noMultiLvlLbl val="0"/>
      </c:catAx>
      <c:valAx>
        <c:axId val="1691224095"/>
        <c:scaling>
          <c:orientation val="maxMin"/>
        </c:scaling>
        <c:delete val="1"/>
        <c:axPos val="b"/>
        <c:numFmt formatCode="General" sourceLinked="1"/>
        <c:majorTickMark val="none"/>
        <c:minorTickMark val="none"/>
        <c:tickLblPos val="nextTo"/>
        <c:crossAx val="169122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rgbClr val="0070C0"/>
                </a:solidFill>
                <a:latin typeface="Angsana New" panose="02020603050405020304" pitchFamily="18" charset="-34"/>
                <a:cs typeface="Angsana New" panose="02020603050405020304" pitchFamily="18" charset="-34"/>
              </a:rPr>
              <a:t>Sales By</a:t>
            </a:r>
            <a:r>
              <a:rPr lang="en-US" sz="2000" baseline="0">
                <a:solidFill>
                  <a:srgbClr val="0070C0"/>
                </a:solidFill>
                <a:latin typeface="Angsana New" panose="02020603050405020304" pitchFamily="18" charset="-34"/>
                <a:cs typeface="Angsana New" panose="02020603050405020304" pitchFamily="18" charset="-34"/>
              </a:rPr>
              <a:t> Month</a:t>
            </a:r>
            <a:endParaRPr lang="en-US" sz="2000">
              <a:solidFill>
                <a:srgbClr val="0070C0"/>
              </a:solidFill>
              <a:latin typeface="Angsana New" panose="02020603050405020304" pitchFamily="18" charset="-34"/>
              <a:cs typeface="Angsana New" panose="02020603050405020304" pitchFamily="18" charset="-34"/>
            </a:endParaRPr>
          </a:p>
        </c:rich>
      </c:tx>
      <c:layout>
        <c:manualLayout>
          <c:xMode val="edge"/>
          <c:yMode val="edge"/>
          <c:x val="0.39513504132314747"/>
          <c:y val="2.134198063422462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8375445896532"/>
          <c:y val="0.23389886991967834"/>
          <c:w val="0.81905615917483499"/>
          <c:h val="0.48358666143477336"/>
        </c:manualLayout>
      </c:layout>
      <c:lineChart>
        <c:grouping val="stacked"/>
        <c:varyColors val="0"/>
        <c:ser>
          <c:idx val="0"/>
          <c:order val="0"/>
          <c:tx>
            <c:strRef>
              <c:f>'Pivot Tables'!$M$2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Tables'!$L$3:$L$15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Tables'!$M$3:$M$15</c:f>
              <c:numCache>
                <c:formatCode>General</c:formatCode>
                <c:ptCount val="12"/>
                <c:pt idx="0">
                  <c:v>97353.21</c:v>
                </c:pt>
                <c:pt idx="1">
                  <c:v>83658.13</c:v>
                </c:pt>
                <c:pt idx="2">
                  <c:v>76986.91</c:v>
                </c:pt>
                <c:pt idx="3">
                  <c:v>78257.009999999995</c:v>
                </c:pt>
                <c:pt idx="4">
                  <c:v>75055.47</c:v>
                </c:pt>
                <c:pt idx="5">
                  <c:v>78715.960000000006</c:v>
                </c:pt>
                <c:pt idx="6">
                  <c:v>81131.67</c:v>
                </c:pt>
                <c:pt idx="7">
                  <c:v>94159.32</c:v>
                </c:pt>
                <c:pt idx="8">
                  <c:v>76538.83</c:v>
                </c:pt>
                <c:pt idx="9">
                  <c:v>83520.679999999993</c:v>
                </c:pt>
                <c:pt idx="10">
                  <c:v>74302.64</c:v>
                </c:pt>
                <c:pt idx="11">
                  <c:v>75013.33</c:v>
                </c:pt>
              </c:numCache>
            </c:numRef>
          </c:val>
          <c:smooth val="0"/>
          <c:extLst>
            <c:ext xmlns:c16="http://schemas.microsoft.com/office/drawing/2014/chart" uri="{C3380CC4-5D6E-409C-BE32-E72D297353CC}">
              <c16:uniqueId val="{00000000-45E8-472E-BF75-D8C18A76EA0F}"/>
            </c:ext>
          </c:extLst>
        </c:ser>
        <c:dLbls>
          <c:dLblPos val="t"/>
          <c:showLegendKey val="0"/>
          <c:showVal val="1"/>
          <c:showCatName val="0"/>
          <c:showSerName val="0"/>
          <c:showPercent val="0"/>
          <c:showBubbleSize val="0"/>
        </c:dLbls>
        <c:marker val="1"/>
        <c:smooth val="0"/>
        <c:axId val="351894720"/>
        <c:axId val="351897120"/>
      </c:lineChart>
      <c:catAx>
        <c:axId val="35189472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1897120"/>
        <c:crosses val="autoZero"/>
        <c:auto val="1"/>
        <c:lblAlgn val="ctr"/>
        <c:lblOffset val="100"/>
        <c:noMultiLvlLbl val="0"/>
      </c:catAx>
      <c:valAx>
        <c:axId val="351897120"/>
        <c:scaling>
          <c:orientation val="minMax"/>
        </c:scaling>
        <c:delete val="1"/>
        <c:axPos val="r"/>
        <c:numFmt formatCode="General" sourceLinked="1"/>
        <c:majorTickMark val="none"/>
        <c:minorTickMark val="none"/>
        <c:tickLblPos val="nextTo"/>
        <c:crossAx val="35189472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Tables!PivotTable5</c:name>
    <c:fmtId val="3"/>
  </c:pivotSource>
  <c:chart>
    <c:title>
      <c:tx>
        <c:rich>
          <a:bodyPr rot="0" spcFirstLastPara="1" vertOverflow="ellipsis" vert="horz" wrap="square" anchor="ctr" anchorCtr="1"/>
          <a:lstStyle/>
          <a:p>
            <a:pPr>
              <a:defRPr sz="2000" b="0" i="0" u="none" strike="noStrike" kern="1200" spc="0" baseline="0">
                <a:solidFill>
                  <a:srgbClr val="0070C0"/>
                </a:solidFill>
                <a:latin typeface="Angsana New" panose="02020603050405020304" pitchFamily="18" charset="-34"/>
                <a:ea typeface="+mn-ea"/>
                <a:cs typeface="Angsana New" panose="02020603050405020304" pitchFamily="18" charset="-34"/>
              </a:defRPr>
            </a:pPr>
            <a:r>
              <a:rPr lang="en-US" sz="2000">
                <a:solidFill>
                  <a:srgbClr val="0070C0"/>
                </a:solidFill>
                <a:latin typeface="Angsana New" panose="02020603050405020304" pitchFamily="18" charset="-34"/>
                <a:cs typeface="Angsana New" panose="02020603050405020304" pitchFamily="18" charset="-34"/>
              </a:rPr>
              <a:t>Sales By Method</a:t>
            </a:r>
            <a:r>
              <a:rPr lang="en-US" sz="2000" baseline="0">
                <a:solidFill>
                  <a:srgbClr val="0070C0"/>
                </a:solidFill>
                <a:latin typeface="Angsana New" panose="02020603050405020304" pitchFamily="18" charset="-34"/>
                <a:cs typeface="Angsana New" panose="02020603050405020304" pitchFamily="18" charset="-34"/>
              </a:rPr>
              <a:t> </a:t>
            </a:r>
            <a:endParaRPr lang="en-US" sz="2000">
              <a:solidFill>
                <a:srgbClr val="0070C0"/>
              </a:solidFill>
              <a:latin typeface="Angsana New" panose="02020603050405020304" pitchFamily="18" charset="-34"/>
              <a:cs typeface="Angsana New" panose="02020603050405020304" pitchFamily="18" charset="-34"/>
            </a:endParaRPr>
          </a:p>
        </c:rich>
      </c:tx>
      <c:layout>
        <c:manualLayout>
          <c:xMode val="edge"/>
          <c:yMode val="edge"/>
          <c:x val="0.40019722615454884"/>
          <c:y val="5.8969019942641969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rgbClr val="0070C0"/>
              </a:solidFill>
              <a:latin typeface="Angsana New" panose="02020603050405020304" pitchFamily="18" charset="-34"/>
              <a:ea typeface="+mn-ea"/>
              <a:cs typeface="Angsana New" panose="02020603050405020304" pitchFamily="18" charset="-34"/>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254507853894132E-2"/>
          <c:y val="0.25360077112828994"/>
          <c:w val="0.94749098429221168"/>
          <c:h val="0.60681732652371589"/>
        </c:manualLayout>
      </c:layout>
      <c:barChart>
        <c:barDir val="col"/>
        <c:grouping val="clustered"/>
        <c:varyColors val="0"/>
        <c:ser>
          <c:idx val="0"/>
          <c:order val="0"/>
          <c:tx>
            <c:strRef>
              <c:f>'Pivot Tables'!$W$2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Tables'!$V$3:$V$7</c:f>
              <c:strCache>
                <c:ptCount val="4"/>
                <c:pt idx="0">
                  <c:v>Bank Transfer</c:v>
                </c:pt>
                <c:pt idx="1">
                  <c:v>Cash</c:v>
                </c:pt>
                <c:pt idx="2">
                  <c:v>Credit Card</c:v>
                </c:pt>
                <c:pt idx="3">
                  <c:v>PayPal</c:v>
                </c:pt>
              </c:strCache>
            </c:strRef>
          </c:cat>
          <c:val>
            <c:numRef>
              <c:f>'Pivot Tables'!$W$3:$W$7</c:f>
              <c:numCache>
                <c:formatCode>General</c:formatCode>
                <c:ptCount val="4"/>
                <c:pt idx="0">
                  <c:v>224207.86</c:v>
                </c:pt>
                <c:pt idx="1">
                  <c:v>233038.02</c:v>
                </c:pt>
                <c:pt idx="2">
                  <c:v>248972.84</c:v>
                </c:pt>
                <c:pt idx="3">
                  <c:v>268474.44</c:v>
                </c:pt>
              </c:numCache>
            </c:numRef>
          </c:val>
          <c:extLst>
            <c:ext xmlns:c16="http://schemas.microsoft.com/office/drawing/2014/chart" uri="{C3380CC4-5D6E-409C-BE32-E72D297353CC}">
              <c16:uniqueId val="{00000000-E219-4BBF-B83A-A2D93DA99F4F}"/>
            </c:ext>
          </c:extLst>
        </c:ser>
        <c:dLbls>
          <c:dLblPos val="outEnd"/>
          <c:showLegendKey val="0"/>
          <c:showVal val="1"/>
          <c:showCatName val="0"/>
          <c:showSerName val="0"/>
          <c:showPercent val="0"/>
          <c:showBubbleSize val="0"/>
        </c:dLbls>
        <c:gapWidth val="219"/>
        <c:overlap val="-27"/>
        <c:axId val="1107465984"/>
        <c:axId val="1107466464"/>
      </c:barChart>
      <c:catAx>
        <c:axId val="1107465984"/>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07466464"/>
        <c:crosses val="autoZero"/>
        <c:auto val="1"/>
        <c:lblAlgn val="ctr"/>
        <c:lblOffset val="100"/>
        <c:noMultiLvlLbl val="0"/>
      </c:catAx>
      <c:valAx>
        <c:axId val="1107466464"/>
        <c:scaling>
          <c:orientation val="minMax"/>
        </c:scaling>
        <c:delete val="1"/>
        <c:axPos val="r"/>
        <c:numFmt formatCode="General" sourceLinked="1"/>
        <c:majorTickMark val="out"/>
        <c:minorTickMark val="none"/>
        <c:tickLblPos val="nextTo"/>
        <c:crossAx val="110746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rgbClr val="0070C0"/>
                </a:solidFill>
                <a:latin typeface="Angsana New" panose="02020603050405020304" pitchFamily="18" charset="-34"/>
                <a:cs typeface="Angsana New" panose="02020603050405020304" pitchFamily="18" charset="-34"/>
              </a:rPr>
              <a:t>Sales By Category &amp; Brands</a:t>
            </a:r>
          </a:p>
        </c:rich>
      </c:tx>
      <c:layout>
        <c:manualLayout>
          <c:xMode val="edge"/>
          <c:yMode val="edge"/>
          <c:x val="0.36021296804141639"/>
          <c:y val="2.42837186588525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21877027346474"/>
          <c:y val="0.12716167125394642"/>
          <c:w val="0.59818096750732397"/>
          <c:h val="0.763474712620416"/>
        </c:manualLayout>
      </c:layout>
      <c:barChart>
        <c:barDir val="col"/>
        <c:grouping val="stacked"/>
        <c:varyColors val="0"/>
        <c:ser>
          <c:idx val="0"/>
          <c:order val="0"/>
          <c:tx>
            <c:strRef>
              <c:f>'Pivot Tables'!$AB$2:$AB$3</c:f>
              <c:strCache>
                <c:ptCount val="1"/>
                <c:pt idx="0">
                  <c:v>Brand A</c:v>
                </c:pt>
              </c:strCache>
            </c:strRef>
          </c:tx>
          <c:spPr>
            <a:solidFill>
              <a:schemeClr val="accent1"/>
            </a:solidFill>
            <a:ln>
              <a:noFill/>
            </a:ln>
            <a:effectLst/>
          </c:spPr>
          <c:invertIfNegative val="0"/>
          <c:cat>
            <c:strRef>
              <c:f>'Pivot Tables'!$AA$4:$AA$9</c:f>
              <c:strCache>
                <c:ptCount val="5"/>
                <c:pt idx="0">
                  <c:v>Beauty</c:v>
                </c:pt>
                <c:pt idx="1">
                  <c:v>Electronics</c:v>
                </c:pt>
                <c:pt idx="2">
                  <c:v>Fashion</c:v>
                </c:pt>
                <c:pt idx="3">
                  <c:v>Home</c:v>
                </c:pt>
                <c:pt idx="4">
                  <c:v>Sports</c:v>
                </c:pt>
              </c:strCache>
            </c:strRef>
          </c:cat>
          <c:val>
            <c:numRef>
              <c:f>'Pivot Tables'!$AB$4:$AB$9</c:f>
              <c:numCache>
                <c:formatCode>General</c:formatCode>
                <c:ptCount val="5"/>
                <c:pt idx="0">
                  <c:v>16945.87</c:v>
                </c:pt>
                <c:pt idx="1">
                  <c:v>40237.67</c:v>
                </c:pt>
                <c:pt idx="2">
                  <c:v>37171.54</c:v>
                </c:pt>
                <c:pt idx="3">
                  <c:v>33578.839999999997</c:v>
                </c:pt>
                <c:pt idx="4">
                  <c:v>36357.589999999997</c:v>
                </c:pt>
              </c:numCache>
            </c:numRef>
          </c:val>
          <c:extLst>
            <c:ext xmlns:c16="http://schemas.microsoft.com/office/drawing/2014/chart" uri="{C3380CC4-5D6E-409C-BE32-E72D297353CC}">
              <c16:uniqueId val="{00000005-1383-4ABD-90B3-49D620EA5208}"/>
            </c:ext>
          </c:extLst>
        </c:ser>
        <c:ser>
          <c:idx val="1"/>
          <c:order val="1"/>
          <c:tx>
            <c:strRef>
              <c:f>'Pivot Tables'!$AC$2:$AC$3</c:f>
              <c:strCache>
                <c:ptCount val="1"/>
                <c:pt idx="0">
                  <c:v>Brand B</c:v>
                </c:pt>
              </c:strCache>
            </c:strRef>
          </c:tx>
          <c:spPr>
            <a:solidFill>
              <a:schemeClr val="accent2"/>
            </a:solidFill>
            <a:ln>
              <a:noFill/>
            </a:ln>
            <a:effectLst/>
          </c:spPr>
          <c:invertIfNegative val="0"/>
          <c:cat>
            <c:strRef>
              <c:f>'Pivot Tables'!$AA$4:$AA$9</c:f>
              <c:strCache>
                <c:ptCount val="5"/>
                <c:pt idx="0">
                  <c:v>Beauty</c:v>
                </c:pt>
                <c:pt idx="1">
                  <c:v>Electronics</c:v>
                </c:pt>
                <c:pt idx="2">
                  <c:v>Fashion</c:v>
                </c:pt>
                <c:pt idx="3">
                  <c:v>Home</c:v>
                </c:pt>
                <c:pt idx="4">
                  <c:v>Sports</c:v>
                </c:pt>
              </c:strCache>
            </c:strRef>
          </c:cat>
          <c:val>
            <c:numRef>
              <c:f>'Pivot Tables'!$AC$4:$AC$9</c:f>
              <c:numCache>
                <c:formatCode>General</c:formatCode>
                <c:ptCount val="5"/>
                <c:pt idx="0">
                  <c:v>47719.63</c:v>
                </c:pt>
                <c:pt idx="1">
                  <c:v>32167.33</c:v>
                </c:pt>
                <c:pt idx="2">
                  <c:v>66804.320000000007</c:v>
                </c:pt>
                <c:pt idx="3">
                  <c:v>38963.07</c:v>
                </c:pt>
                <c:pt idx="4">
                  <c:v>26684.9</c:v>
                </c:pt>
              </c:numCache>
            </c:numRef>
          </c:val>
          <c:extLst>
            <c:ext xmlns:c16="http://schemas.microsoft.com/office/drawing/2014/chart" uri="{C3380CC4-5D6E-409C-BE32-E72D297353CC}">
              <c16:uniqueId val="{00000002-772B-4BCA-B61F-127804609F0A}"/>
            </c:ext>
          </c:extLst>
        </c:ser>
        <c:ser>
          <c:idx val="2"/>
          <c:order val="2"/>
          <c:tx>
            <c:strRef>
              <c:f>'Pivot Tables'!$AD$2:$AD$3</c:f>
              <c:strCache>
                <c:ptCount val="1"/>
                <c:pt idx="0">
                  <c:v>Brand C</c:v>
                </c:pt>
              </c:strCache>
            </c:strRef>
          </c:tx>
          <c:spPr>
            <a:solidFill>
              <a:schemeClr val="accent6"/>
            </a:solidFill>
            <a:ln>
              <a:noFill/>
            </a:ln>
            <a:effectLst/>
          </c:spPr>
          <c:invertIfNegative val="0"/>
          <c:cat>
            <c:strRef>
              <c:f>'Pivot Tables'!$AA$4:$AA$9</c:f>
              <c:strCache>
                <c:ptCount val="5"/>
                <c:pt idx="0">
                  <c:v>Beauty</c:v>
                </c:pt>
                <c:pt idx="1">
                  <c:v>Electronics</c:v>
                </c:pt>
                <c:pt idx="2">
                  <c:v>Fashion</c:v>
                </c:pt>
                <c:pt idx="3">
                  <c:v>Home</c:v>
                </c:pt>
                <c:pt idx="4">
                  <c:v>Sports</c:v>
                </c:pt>
              </c:strCache>
            </c:strRef>
          </c:cat>
          <c:val>
            <c:numRef>
              <c:f>'Pivot Tables'!$AD$4:$AD$9</c:f>
              <c:numCache>
                <c:formatCode>General</c:formatCode>
                <c:ptCount val="5"/>
                <c:pt idx="0">
                  <c:v>37907.71</c:v>
                </c:pt>
                <c:pt idx="1">
                  <c:v>45580.26</c:v>
                </c:pt>
                <c:pt idx="2">
                  <c:v>42232.26</c:v>
                </c:pt>
                <c:pt idx="3">
                  <c:v>34144.01</c:v>
                </c:pt>
                <c:pt idx="4">
                  <c:v>36427.300000000003</c:v>
                </c:pt>
              </c:numCache>
            </c:numRef>
          </c:val>
          <c:extLst>
            <c:ext xmlns:c16="http://schemas.microsoft.com/office/drawing/2014/chart" uri="{C3380CC4-5D6E-409C-BE32-E72D297353CC}">
              <c16:uniqueId val="{00000003-772B-4BCA-B61F-127804609F0A}"/>
            </c:ext>
          </c:extLst>
        </c:ser>
        <c:ser>
          <c:idx val="3"/>
          <c:order val="3"/>
          <c:tx>
            <c:strRef>
              <c:f>'Pivot Tables'!$AE$2:$AE$3</c:f>
              <c:strCache>
                <c:ptCount val="1"/>
                <c:pt idx="0">
                  <c:v>Brand D</c:v>
                </c:pt>
              </c:strCache>
            </c:strRef>
          </c:tx>
          <c:spPr>
            <a:solidFill>
              <a:schemeClr val="accent4"/>
            </a:solidFill>
            <a:ln>
              <a:noFill/>
            </a:ln>
            <a:effectLst/>
          </c:spPr>
          <c:invertIfNegative val="0"/>
          <c:cat>
            <c:strRef>
              <c:f>'Pivot Tables'!$AA$4:$AA$9</c:f>
              <c:strCache>
                <c:ptCount val="5"/>
                <c:pt idx="0">
                  <c:v>Beauty</c:v>
                </c:pt>
                <c:pt idx="1">
                  <c:v>Electronics</c:v>
                </c:pt>
                <c:pt idx="2">
                  <c:v>Fashion</c:v>
                </c:pt>
                <c:pt idx="3">
                  <c:v>Home</c:v>
                </c:pt>
                <c:pt idx="4">
                  <c:v>Sports</c:v>
                </c:pt>
              </c:strCache>
            </c:strRef>
          </c:cat>
          <c:val>
            <c:numRef>
              <c:f>'Pivot Tables'!$AE$4:$AE$9</c:f>
              <c:numCache>
                <c:formatCode>General</c:formatCode>
                <c:ptCount val="5"/>
                <c:pt idx="0">
                  <c:v>48230.21</c:v>
                </c:pt>
                <c:pt idx="1">
                  <c:v>50415.79</c:v>
                </c:pt>
                <c:pt idx="2">
                  <c:v>36409.85</c:v>
                </c:pt>
                <c:pt idx="3">
                  <c:v>36480.61</c:v>
                </c:pt>
                <c:pt idx="4">
                  <c:v>48291.85</c:v>
                </c:pt>
              </c:numCache>
            </c:numRef>
          </c:val>
          <c:extLst>
            <c:ext xmlns:c16="http://schemas.microsoft.com/office/drawing/2014/chart" uri="{C3380CC4-5D6E-409C-BE32-E72D297353CC}">
              <c16:uniqueId val="{00000004-772B-4BCA-B61F-127804609F0A}"/>
            </c:ext>
          </c:extLst>
        </c:ser>
        <c:ser>
          <c:idx val="4"/>
          <c:order val="4"/>
          <c:tx>
            <c:strRef>
              <c:f>'Pivot Tables'!$AF$2:$AF$3</c:f>
              <c:strCache>
                <c:ptCount val="1"/>
                <c:pt idx="0">
                  <c:v>Brand E</c:v>
                </c:pt>
              </c:strCache>
            </c:strRef>
          </c:tx>
          <c:spPr>
            <a:solidFill>
              <a:schemeClr val="accent5"/>
            </a:solidFill>
            <a:ln>
              <a:noFill/>
            </a:ln>
            <a:effectLst/>
          </c:spPr>
          <c:invertIfNegative val="0"/>
          <c:cat>
            <c:strRef>
              <c:f>'Pivot Tables'!$AA$4:$AA$9</c:f>
              <c:strCache>
                <c:ptCount val="5"/>
                <c:pt idx="0">
                  <c:v>Beauty</c:v>
                </c:pt>
                <c:pt idx="1">
                  <c:v>Electronics</c:v>
                </c:pt>
                <c:pt idx="2">
                  <c:v>Fashion</c:v>
                </c:pt>
                <c:pt idx="3">
                  <c:v>Home</c:v>
                </c:pt>
                <c:pt idx="4">
                  <c:v>Sports</c:v>
                </c:pt>
              </c:strCache>
            </c:strRef>
          </c:cat>
          <c:val>
            <c:numRef>
              <c:f>'Pivot Tables'!$AF$4:$AF$9</c:f>
              <c:numCache>
                <c:formatCode>General</c:formatCode>
                <c:ptCount val="5"/>
                <c:pt idx="0">
                  <c:v>36975.919999999998</c:v>
                </c:pt>
                <c:pt idx="1">
                  <c:v>31954.09</c:v>
                </c:pt>
                <c:pt idx="2">
                  <c:v>38684.06</c:v>
                </c:pt>
                <c:pt idx="3">
                  <c:v>41831.1</c:v>
                </c:pt>
                <c:pt idx="4">
                  <c:v>32497.38</c:v>
                </c:pt>
              </c:numCache>
            </c:numRef>
          </c:val>
          <c:extLst>
            <c:ext xmlns:c16="http://schemas.microsoft.com/office/drawing/2014/chart" uri="{C3380CC4-5D6E-409C-BE32-E72D297353CC}">
              <c16:uniqueId val="{00000005-772B-4BCA-B61F-127804609F0A}"/>
            </c:ext>
          </c:extLst>
        </c:ser>
        <c:dLbls>
          <c:dLblPos val="ctr"/>
          <c:showLegendKey val="0"/>
          <c:showVal val="0"/>
          <c:showCatName val="0"/>
          <c:showSerName val="0"/>
          <c:showPercent val="0"/>
          <c:showBubbleSize val="0"/>
        </c:dLbls>
        <c:gapWidth val="150"/>
        <c:overlap val="100"/>
        <c:axId val="194863488"/>
        <c:axId val="194860128"/>
      </c:barChart>
      <c:catAx>
        <c:axId val="19486348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4860128"/>
        <c:crosses val="autoZero"/>
        <c:auto val="1"/>
        <c:lblAlgn val="ctr"/>
        <c:lblOffset val="100"/>
        <c:noMultiLvlLbl val="0"/>
      </c:catAx>
      <c:valAx>
        <c:axId val="19486012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63488"/>
        <c:crosses val="autoZero"/>
        <c:crossBetween val="between"/>
      </c:valAx>
      <c:spPr>
        <a:noFill/>
        <a:ln>
          <a:noFill/>
        </a:ln>
        <a:effectLst/>
      </c:spPr>
    </c:plotArea>
    <c:legend>
      <c:legendPos val="l"/>
      <c:layout>
        <c:manualLayout>
          <c:xMode val="edge"/>
          <c:yMode val="edge"/>
          <c:x val="1.4387315598795544E-2"/>
          <c:y val="0.23519927682884051"/>
          <c:w val="0.12741963533236125"/>
          <c:h val="0.5744603725831041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219228</xdr:colOff>
      <xdr:row>2</xdr:row>
      <xdr:rowOff>0</xdr:rowOff>
    </xdr:from>
    <xdr:to>
      <xdr:col>27</xdr:col>
      <xdr:colOff>409730</xdr:colOff>
      <xdr:row>40</xdr:row>
      <xdr:rowOff>169333</xdr:rowOff>
    </xdr:to>
    <xdr:grpSp>
      <xdr:nvGrpSpPr>
        <xdr:cNvPr id="26" name="Group 25">
          <a:extLst>
            <a:ext uri="{FF2B5EF4-FFF2-40B4-BE49-F238E27FC236}">
              <a16:creationId xmlns:a16="http://schemas.microsoft.com/office/drawing/2014/main" id="{573FDAC3-CEC0-A105-9786-061C10F34DF6}"/>
            </a:ext>
          </a:extLst>
        </xdr:cNvPr>
        <xdr:cNvGrpSpPr/>
      </xdr:nvGrpSpPr>
      <xdr:grpSpPr>
        <a:xfrm>
          <a:off x="10040062103" y="359833"/>
          <a:ext cx="12467169" cy="7006167"/>
          <a:chOff x="9942530642" y="272143"/>
          <a:chExt cx="11130644" cy="7792356"/>
        </a:xfrm>
      </xdr:grpSpPr>
      <xdr:graphicFrame macro="">
        <xdr:nvGraphicFramePr>
          <xdr:cNvPr id="3" name="Chart 2">
            <a:extLst>
              <a:ext uri="{FF2B5EF4-FFF2-40B4-BE49-F238E27FC236}">
                <a16:creationId xmlns:a16="http://schemas.microsoft.com/office/drawing/2014/main" id="{EF6EAB6D-BBB1-4C87-A280-0FBB654A663A}"/>
              </a:ext>
            </a:extLst>
          </xdr:cNvPr>
          <xdr:cNvGraphicFramePr>
            <a:graphicFrameLocks/>
          </xdr:cNvGraphicFramePr>
        </xdr:nvGraphicFramePr>
        <xdr:xfrm>
          <a:off x="9942530642" y="2821212"/>
          <a:ext cx="5470072" cy="257628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 name="Chart 4">
            <a:extLst>
              <a:ext uri="{FF2B5EF4-FFF2-40B4-BE49-F238E27FC236}">
                <a16:creationId xmlns:a16="http://schemas.microsoft.com/office/drawing/2014/main" id="{3D2AE21B-1638-4A5E-9BF1-F1B7B7F89C0B}"/>
              </a:ext>
            </a:extLst>
          </xdr:cNvPr>
          <xdr:cNvGraphicFramePr>
            <a:graphicFrameLocks/>
          </xdr:cNvGraphicFramePr>
        </xdr:nvGraphicFramePr>
        <xdr:xfrm>
          <a:off x="9948163295" y="2802845"/>
          <a:ext cx="5488919" cy="257651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 name="Chart 5">
            <a:extLst>
              <a:ext uri="{FF2B5EF4-FFF2-40B4-BE49-F238E27FC236}">
                <a16:creationId xmlns:a16="http://schemas.microsoft.com/office/drawing/2014/main" id="{155A8983-3F37-4DBB-A7DB-F6CF5F309E04}"/>
              </a:ext>
            </a:extLst>
          </xdr:cNvPr>
          <xdr:cNvGraphicFramePr>
            <a:graphicFrameLocks/>
          </xdr:cNvGraphicFramePr>
        </xdr:nvGraphicFramePr>
        <xdr:xfrm>
          <a:off x="9948154929" y="5482429"/>
          <a:ext cx="5506357" cy="258206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8" name="Chart 7">
            <a:extLst>
              <a:ext uri="{FF2B5EF4-FFF2-40B4-BE49-F238E27FC236}">
                <a16:creationId xmlns:a16="http://schemas.microsoft.com/office/drawing/2014/main" id="{F8690689-BA2C-49C2-A611-07BBE507FB33}"/>
              </a:ext>
            </a:extLst>
          </xdr:cNvPr>
          <xdr:cNvGraphicFramePr>
            <a:graphicFrameLocks/>
          </xdr:cNvGraphicFramePr>
        </xdr:nvGraphicFramePr>
        <xdr:xfrm>
          <a:off x="9942530643" y="5484082"/>
          <a:ext cx="5472615" cy="2580417"/>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17" name="Group 16">
            <a:extLst>
              <a:ext uri="{FF2B5EF4-FFF2-40B4-BE49-F238E27FC236}">
                <a16:creationId xmlns:a16="http://schemas.microsoft.com/office/drawing/2014/main" id="{738AE449-84EC-3265-0D69-3AE974833AC5}"/>
              </a:ext>
            </a:extLst>
          </xdr:cNvPr>
          <xdr:cNvGrpSpPr/>
        </xdr:nvGrpSpPr>
        <xdr:grpSpPr>
          <a:xfrm>
            <a:off x="9944755067" y="1638423"/>
            <a:ext cx="6522458" cy="985797"/>
            <a:chOff x="9946440429" y="526143"/>
            <a:chExt cx="5914581" cy="1034143"/>
          </a:xfrm>
        </xdr:grpSpPr>
        <xdr:sp macro="" textlink="">
          <xdr:nvSpPr>
            <xdr:cNvPr id="10" name="Rectangle: Rounded Corners 9">
              <a:extLst>
                <a:ext uri="{FF2B5EF4-FFF2-40B4-BE49-F238E27FC236}">
                  <a16:creationId xmlns:a16="http://schemas.microsoft.com/office/drawing/2014/main" id="{4928E429-8575-6155-0066-776E7EC6D0DD}"/>
                </a:ext>
              </a:extLst>
            </xdr:cNvPr>
            <xdr:cNvSpPr/>
          </xdr:nvSpPr>
          <xdr:spPr>
            <a:xfrm>
              <a:off x="9949497510" y="526143"/>
              <a:ext cx="2857500" cy="1034143"/>
            </a:xfrm>
            <a:prstGeom prst="roundRect">
              <a:avLst/>
            </a:prstGeom>
            <a:ln>
              <a:solidFill>
                <a:schemeClr val="accent2">
                  <a:lumMod val="20000"/>
                  <a:lumOff val="80000"/>
                </a:schemeClr>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rtl="1"/>
              <a:r>
                <a:rPr lang="en-US" sz="3200">
                  <a:latin typeface="Andalus" panose="02020603050405020304" pitchFamily="18" charset="-78"/>
                  <a:cs typeface="Andalus" panose="02020603050405020304" pitchFamily="18" charset="-78"/>
                </a:rPr>
                <a:t>Sales</a:t>
              </a:r>
            </a:p>
          </xdr:txBody>
        </xdr:sp>
        <xdr:sp macro="" textlink="">
          <xdr:nvSpPr>
            <xdr:cNvPr id="12" name="Rectangle: Rounded Corners 11">
              <a:extLst>
                <a:ext uri="{FF2B5EF4-FFF2-40B4-BE49-F238E27FC236}">
                  <a16:creationId xmlns:a16="http://schemas.microsoft.com/office/drawing/2014/main" id="{F0EF302D-662E-473C-9D85-771136E682D1}"/>
                </a:ext>
              </a:extLst>
            </xdr:cNvPr>
            <xdr:cNvSpPr/>
          </xdr:nvSpPr>
          <xdr:spPr>
            <a:xfrm>
              <a:off x="9946440429" y="526143"/>
              <a:ext cx="2848429" cy="1025072"/>
            </a:xfrm>
            <a:prstGeom prst="roundRect">
              <a:avLst/>
            </a:prstGeom>
            <a:ln>
              <a:solidFill>
                <a:schemeClr val="accent2">
                  <a:lumMod val="20000"/>
                  <a:lumOff val="80000"/>
                </a:schemeClr>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rtl="1"/>
              <a:r>
                <a:rPr lang="en-US" sz="3200">
                  <a:latin typeface="Andalus" panose="02020603050405020304" pitchFamily="18" charset="-78"/>
                  <a:cs typeface="Andalus" panose="02020603050405020304" pitchFamily="18" charset="-78"/>
                </a:rPr>
                <a:t>Customers</a:t>
              </a:r>
            </a:p>
          </xdr:txBody>
        </xdr:sp>
        <xdr:sp macro="" textlink="'Pivot Tables'!B20">
          <xdr:nvSpPr>
            <xdr:cNvPr id="13" name="TextBox 12">
              <a:extLst>
                <a:ext uri="{FF2B5EF4-FFF2-40B4-BE49-F238E27FC236}">
                  <a16:creationId xmlns:a16="http://schemas.microsoft.com/office/drawing/2014/main" id="{2EA57290-84AC-CF7F-3D4F-A44AFD0DDED7}"/>
                </a:ext>
              </a:extLst>
            </xdr:cNvPr>
            <xdr:cNvSpPr txBox="1"/>
          </xdr:nvSpPr>
          <xdr:spPr>
            <a:xfrm>
              <a:off x="9947229643" y="1152069"/>
              <a:ext cx="1124857"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fld id="{4F44ADCA-C214-47DD-BED6-968454A89DDE}" type="TxLink">
                <a:rPr lang="en-US" sz="1600" b="0" i="0" u="none" strike="noStrike">
                  <a:solidFill>
                    <a:schemeClr val="bg1"/>
                  </a:solidFill>
                  <a:latin typeface="Amasis MT Pro" panose="02040504050005020304" pitchFamily="18" charset="0"/>
                </a:rPr>
                <a:pPr algn="ctr" rtl="1"/>
                <a:t>974693.16</a:t>
              </a:fld>
              <a:endParaRPr lang="en-US" sz="1600">
                <a:solidFill>
                  <a:schemeClr val="bg1"/>
                </a:solidFill>
                <a:latin typeface="Amasis MT Pro" panose="02040504050005020304" pitchFamily="18" charset="0"/>
              </a:endParaRPr>
            </a:p>
          </xdr:txBody>
        </xdr:sp>
        <xdr:sp macro="" textlink="'Pivot Tables'!G20">
          <xdr:nvSpPr>
            <xdr:cNvPr id="16" name="TextBox 15">
              <a:extLst>
                <a:ext uri="{FF2B5EF4-FFF2-40B4-BE49-F238E27FC236}">
                  <a16:creationId xmlns:a16="http://schemas.microsoft.com/office/drawing/2014/main" id="{BEC6CEC2-C645-4A7C-8401-AF74E6D9181C}"/>
                </a:ext>
              </a:extLst>
            </xdr:cNvPr>
            <xdr:cNvSpPr txBox="1"/>
          </xdr:nvSpPr>
          <xdr:spPr>
            <a:xfrm>
              <a:off x="9950377428" y="1179286"/>
              <a:ext cx="1124857"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fld id="{5339C365-3676-4C2C-A3AA-B982C86A2121}" type="TxLink">
                <a:rPr lang="en-US" sz="1600" b="0" i="0" u="none" strike="noStrike">
                  <a:solidFill>
                    <a:schemeClr val="bg1"/>
                  </a:solidFill>
                  <a:latin typeface="Amasis MT Pro" panose="02040504050005020304" pitchFamily="18" charset="0"/>
                </a:rPr>
                <a:pPr algn="ctr" rtl="1"/>
                <a:t>638</a:t>
              </a:fld>
              <a:endParaRPr lang="en-US" sz="2400">
                <a:solidFill>
                  <a:schemeClr val="bg1"/>
                </a:solidFill>
                <a:latin typeface="Amasis MT Pro" panose="02040504050005020304" pitchFamily="18" charset="0"/>
              </a:endParaRPr>
            </a:p>
          </xdr:txBody>
        </xdr:sp>
      </xdr:grpSp>
      <xdr:sp macro="" textlink="">
        <xdr:nvSpPr>
          <xdr:cNvPr id="18" name="Rectangle: Rounded Corners 17">
            <a:extLst>
              <a:ext uri="{FF2B5EF4-FFF2-40B4-BE49-F238E27FC236}">
                <a16:creationId xmlns:a16="http://schemas.microsoft.com/office/drawing/2014/main" id="{273D460E-815C-81C4-E17B-E01516E3206F}"/>
              </a:ext>
            </a:extLst>
          </xdr:cNvPr>
          <xdr:cNvSpPr/>
        </xdr:nvSpPr>
        <xdr:spPr>
          <a:xfrm>
            <a:off x="9942693928" y="272143"/>
            <a:ext cx="10949215" cy="1054975"/>
          </a:xfrm>
          <a:prstGeom prst="roundRect">
            <a:avLst/>
          </a:prstGeom>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rtl="1"/>
            <a:r>
              <a:rPr lang="en-US" sz="4400">
                <a:latin typeface="Andalus" panose="02020603050405020304" pitchFamily="18" charset="-78"/>
                <a:cs typeface="Andalus" panose="02020603050405020304" pitchFamily="18" charset="-78"/>
              </a:rPr>
              <a:t>Sales Dash</a:t>
            </a:r>
            <a:r>
              <a:rPr lang="en-US" sz="4400" baseline="0">
                <a:latin typeface="Andalus" panose="02020603050405020304" pitchFamily="18" charset="-78"/>
                <a:cs typeface="Andalus" panose="02020603050405020304" pitchFamily="18" charset="-78"/>
              </a:rPr>
              <a:t>board</a:t>
            </a:r>
            <a:endParaRPr lang="en-US" sz="4400">
              <a:latin typeface="Andalus" panose="02020603050405020304" pitchFamily="18" charset="-78"/>
              <a:cs typeface="Andalus" panose="02020603050405020304" pitchFamily="18" charset="-78"/>
            </a:endParaRPr>
          </a:p>
        </xdr:txBody>
      </xdr:sp>
    </xdr:grpSp>
    <xdr:clientData/>
  </xdr:twoCellAnchor>
  <xdr:twoCellAnchor>
    <xdr:from>
      <xdr:col>1</xdr:col>
      <xdr:colOff>81642</xdr:colOff>
      <xdr:row>5</xdr:row>
      <xdr:rowOff>112485</xdr:rowOff>
    </xdr:from>
    <xdr:to>
      <xdr:col>6</xdr:col>
      <xdr:colOff>539751</xdr:colOff>
      <xdr:row>25</xdr:row>
      <xdr:rowOff>63500</xdr:rowOff>
    </xdr:to>
    <xdr:grpSp>
      <xdr:nvGrpSpPr>
        <xdr:cNvPr id="23" name="Group 22">
          <a:extLst>
            <a:ext uri="{FF2B5EF4-FFF2-40B4-BE49-F238E27FC236}">
              <a16:creationId xmlns:a16="http://schemas.microsoft.com/office/drawing/2014/main" id="{C1B077E6-E6D6-C574-B3D4-95104445551C}"/>
            </a:ext>
          </a:extLst>
        </xdr:cNvPr>
        <xdr:cNvGrpSpPr/>
      </xdr:nvGrpSpPr>
      <xdr:grpSpPr>
        <a:xfrm>
          <a:off x="10052822582" y="1012068"/>
          <a:ext cx="3527276" cy="3549349"/>
          <a:chOff x="9954124835" y="239485"/>
          <a:chExt cx="3731987" cy="3851730"/>
        </a:xfrm>
      </xdr:grpSpPr>
      <mc:AlternateContent xmlns:mc="http://schemas.openxmlformats.org/markup-compatibility/2006" xmlns:a14="http://schemas.microsoft.com/office/drawing/2010/main">
        <mc:Choice Requires="a14">
          <xdr:graphicFrame macro="">
            <xdr:nvGraphicFramePr>
              <xdr:cNvPr id="15" name="BrandName">
                <a:extLst>
                  <a:ext uri="{FF2B5EF4-FFF2-40B4-BE49-F238E27FC236}">
                    <a16:creationId xmlns:a16="http://schemas.microsoft.com/office/drawing/2014/main" id="{73FF3170-E8D2-4306-98B4-4F895A5B7978}"/>
                  </a:ext>
                </a:extLst>
              </xdr:cNvPr>
              <xdr:cNvGraphicFramePr/>
            </xdr:nvGraphicFramePr>
            <xdr:xfrm>
              <a:off x="9956009878" y="244927"/>
              <a:ext cx="1828800" cy="1233716"/>
            </xdr:xfrm>
            <a:graphic>
              <a:graphicData uri="http://schemas.microsoft.com/office/drawing/2010/slicer">
                <sle:slicer xmlns:sle="http://schemas.microsoft.com/office/drawing/2010/slicer" name="BrandName"/>
              </a:graphicData>
            </a:graphic>
          </xdr:graphicFrame>
        </mc:Choice>
        <mc:Fallback xmlns="">
          <xdr:sp macro="" textlink="">
            <xdr:nvSpPr>
              <xdr:cNvPr id="0" name=""/>
              <xdr:cNvSpPr>
                <a:spLocks noTextEdit="1"/>
              </xdr:cNvSpPr>
            </xdr:nvSpPr>
            <xdr:spPr>
              <a:xfrm>
                <a:off x="10054604225" y="1017083"/>
                <a:ext cx="1728485" cy="1136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9" name="BranchName">
                <a:extLst>
                  <a:ext uri="{FF2B5EF4-FFF2-40B4-BE49-F238E27FC236}">
                    <a16:creationId xmlns:a16="http://schemas.microsoft.com/office/drawing/2014/main" id="{1420557C-F0F0-4E03-83FD-7FD851E9FDC9}"/>
                  </a:ext>
                </a:extLst>
              </xdr:cNvPr>
              <xdr:cNvGraphicFramePr/>
            </xdr:nvGraphicFramePr>
            <xdr:xfrm>
              <a:off x="9956010786" y="2918278"/>
              <a:ext cx="1846036" cy="1163865"/>
            </xdr:xfrm>
            <a:graphic>
              <a:graphicData uri="http://schemas.microsoft.com/office/drawing/2010/slicer">
                <sle:slicer xmlns:sle="http://schemas.microsoft.com/office/drawing/2010/slicer" name="BranchName"/>
              </a:graphicData>
            </a:graphic>
          </xdr:graphicFrame>
        </mc:Choice>
        <mc:Fallback xmlns="">
          <xdr:sp macro="" textlink="">
            <xdr:nvSpPr>
              <xdr:cNvPr id="0" name=""/>
              <xdr:cNvSpPr>
                <a:spLocks noTextEdit="1"/>
              </xdr:cNvSpPr>
            </xdr:nvSpPr>
            <xdr:spPr>
              <a:xfrm>
                <a:off x="10054605083" y="3480562"/>
                <a:ext cx="1744775" cy="10724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0" name="Month">
                <a:extLst>
                  <a:ext uri="{FF2B5EF4-FFF2-40B4-BE49-F238E27FC236}">
                    <a16:creationId xmlns:a16="http://schemas.microsoft.com/office/drawing/2014/main" id="{85ED4F40-DFCD-45B8-9324-4020953C86D6}"/>
                  </a:ext>
                </a:extLst>
              </xdr:cNvPr>
              <xdr:cNvGraphicFramePr/>
            </xdr:nvGraphicFramePr>
            <xdr:xfrm>
              <a:off x="9954124835" y="239485"/>
              <a:ext cx="1828800" cy="385173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052822582" y="1012068"/>
                <a:ext cx="1728485" cy="3549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F5B8D36E-178D-47F8-8103-1BAB4B51AB49}"/>
                  </a:ext>
                </a:extLst>
              </xdr:cNvPr>
              <xdr:cNvGraphicFramePr/>
            </xdr:nvGraphicFramePr>
            <xdr:xfrm>
              <a:off x="9956009879" y="1554842"/>
              <a:ext cx="1828800" cy="1275444"/>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054604226" y="2224163"/>
                <a:ext cx="1728485" cy="11753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رزان احمد" refreshedDate="46003.643863425925" backgroundQuery="1" createdVersion="8" refreshedVersion="8" minRefreshableVersion="3" recordCount="0" supportSubquery="1" supportAdvancedDrill="1" xr:uid="{6EF76D3F-A8FF-4F77-A193-6B78E8E92D25}">
  <cacheSource type="external" connectionId="10"/>
  <cacheFields count="3">
    <cacheField name="[Brands].[BrandName].[BrandName]" caption="BrandName" numFmtId="0" hierarchy="5" level="1">
      <sharedItems count="5">
        <s v="Brand A"/>
        <s v="Brand B"/>
        <s v="Brand C"/>
        <s v="Brand D"/>
        <s v="Brand E"/>
      </sharedItems>
    </cacheField>
    <cacheField name="[Measures].[Total sales]" caption="Total sales" numFmtId="0" hierarchy="35" level="32767"/>
    <cacheField name="[Calendar].[Month].[Month]" caption="Month" numFmtId="0" hierarchy="11" level="1">
      <sharedItems containsSemiMixedTypes="0" containsNonDate="0" containsString="0"/>
    </cacheField>
  </cacheFields>
  <cacheHierarchies count="45">
    <cacheHierarchy uniqueName="[Branches].[BranchID]" caption="BranchID" attribute="1" defaultMemberUniqueName="[Branches].[BranchID].[All]" allUniqueName="[Branches].[BranchID].[All]" dimensionUniqueName="[Branches]" displayFolder="" count="2"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2" memberValueDatatype="130" unbalanced="0"/>
    <cacheHierarchy uniqueName="[Branches].[Manager]" caption="Manager" attribute="1" defaultMemberUniqueName="[Branches].[Manager].[All]" allUniqueName="[Branches].[Manager].[All]" dimensionUniqueName="[Branches]" displayFolder="" count="2" memberValueDatatype="130" unbalanced="0"/>
    <cacheHierarchy uniqueName="[Brands].[CountryOfOrigin]" caption="CountryOfOrigin" attribute="1" defaultMemberUniqueName="[Brands].[CountryOfOrigin].[All]" allUniqueName="[Brands].[CountryOfOrigin].[All]" dimensionUniqueName="[Brands]" displayFolder="" count="2" memberValueDatatype="13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0"/>
      </fieldsUsage>
    </cacheHierarchy>
    <cacheHierarchy uniqueName="[Brands].[BrandID]" caption="BrandID" attribute="1" defaultMemberUniqueName="[Brands].[BrandID].[All]" allUniqueName="[Brands].[BrandID].[All]" dimensionUniqueName="[Brands]" displayFolder="" count="2" memberValueDatatype="2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Methods].[PaymentID]" caption="PaymentID" attribute="1" defaultMemberUniqueName="[PaymentMethods].[PaymentID].[All]" allUniqueName="[PaymentMethods].[PaymentID].[All]" dimensionUniqueName="[PaymentMethods]" displayFolder="" count="2"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Sales All].[SaleID]" caption="SaleID" attribute="1" defaultMemberUniqueName="[Sales All].[SaleID].[All]" allUniqueName="[Sales All].[SaleID].[All]" dimensionUniqueName="[Sales All]" displayFolder="" count="2" memberValueDatatype="20" unbalanced="0"/>
    <cacheHierarchy uniqueName="[Sales All].[CustomerID]" caption="CustomerID" attribute="1" defaultMemberUniqueName="[Sales All].[CustomerID].[All]" allUniqueName="[Sales All].[CustomerID].[All]" dimensionUniqueName="[Sales All]" displayFolder="" count="2" memberValueDatatype="20" unbalanced="0"/>
    <cacheHierarchy uniqueName="[Sales All].[ProductID]" caption="ProductID" attribute="1" defaultMemberUniqueName="[Sales All].[ProductID].[All]" allUniqueName="[Sales All].[ProductID].[All]" dimensionUniqueName="[Sales All]" displayFolder="" count="2" memberValueDatatype="20" unbalanced="0"/>
    <cacheHierarchy uniqueName="[Sales All].[BranchID]" caption="BranchID" attribute="1" defaultMemberUniqueName="[Sales All].[BranchID].[All]" allUniqueName="[Sales All].[BranchID].[All]" dimensionUniqueName="[Sales All]" displayFolder="" count="2" memberValueDatatype="20" unbalanced="0"/>
    <cacheHierarchy uniqueName="[Sales All].[Date]" caption="Date" attribute="1" time="1" defaultMemberUniqueName="[Sales All].[Date].[All]" allUniqueName="[Sales All].[Date].[All]" dimensionUniqueName="[Sales All]" displayFolder="" count="2" memberValueDatatype="7" unbalanced="0"/>
    <cacheHierarchy uniqueName="[Sales All].[Quantity]" caption="Quantity" attribute="1" defaultMemberUniqueName="[Sales All].[Quantity].[All]" allUniqueName="[Sales All].[Quantity].[All]" dimensionUniqueName="[Sales All]" displayFolder="" count="2" memberValueDatatype="20" unbalanced="0"/>
    <cacheHierarchy uniqueName="[Sales All].[TotalAmount]" caption="TotalAmount" attribute="1" defaultMemberUniqueName="[Sales All].[TotalAmount].[All]" allUniqueName="[Sales All].[TotalAmount].[All]" dimensionUniqueName="[Sales All]" displayFolder="" count="2" memberValueDatatype="5" unbalanced="0"/>
    <cacheHierarchy uniqueName="[Sales All].[PaymentMethod]" caption="PaymentMethod" attribute="1" defaultMemberUniqueName="[Sales All].[PaymentMethod].[All]" allUniqueName="[Sales All].[PaymentMethod].[All]" dimensionUniqueName="[Sales All]" displayFolder="" count="2" memberValueDatatype="130" unbalanced="0"/>
    <cacheHierarchy uniqueName="[Measures].[Total sales]" caption="Total sales" measure="1" displayFolder="" measureGroup="Sales All" count="0" oneField="1">
      <fieldsUsage count="1">
        <fieldUsage x="1"/>
      </fieldsUsage>
    </cacheHierarchy>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رزان احمد" refreshedDate="46003.643864120371" backgroundQuery="1" createdVersion="8" refreshedVersion="8" minRefreshableVersion="3" recordCount="0" supportSubquery="1" supportAdvancedDrill="1" xr:uid="{230B591D-C329-426F-99C8-029AC2B96916}">
  <cacheSource type="external" connectionId="10"/>
  <cacheFields count="3">
    <cacheField name="[Products].[Category].[Category]" caption="Category" numFmtId="0" hierarchy="24" level="1">
      <sharedItems count="5">
        <s v="Beauty"/>
        <s v="Electronics"/>
        <s v="Fashion"/>
        <s v="Home"/>
        <s v="Sports"/>
      </sharedItems>
    </cacheField>
    <cacheField name="[Measures].[Total sales]" caption="Total sales" numFmtId="0" hierarchy="35" level="32767"/>
    <cacheField name="[Calendar].[Month].[Month]" caption="Month" numFmtId="0" hierarchy="11" level="1">
      <sharedItems containsSemiMixedTypes="0" containsNonDate="0" containsString="0"/>
    </cacheField>
  </cacheFields>
  <cacheHierarchies count="45">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Brands].[BrandName]" caption="BrandName" attribute="1" defaultMemberUniqueName="[Brands].[BrandName].[All]" allUniqueName="[Brands].[BrandName].[All]" dimensionUniqueName="[Brands]" displayFolder="" count="2" memberValueDatatype="130" unbalanced="0"/>
    <cacheHierarchy uniqueName="[Brands].[BrandID]" caption="BrandID" attribute="1" defaultMemberUniqueName="[Brands].[BrandID].[All]" allUniqueName="[Brands].[BrandID].[All]" dimensionUniqueName="[Brand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2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1"/>
      </fieldsUsage>
    </cacheHierarchy>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رزان احمد" refreshedDate="46003.643864930556" backgroundQuery="1" createdVersion="8" refreshedVersion="8" minRefreshableVersion="3" recordCount="0" supportSubquery="1" supportAdvancedDrill="1" xr:uid="{8CD2DEC6-58AB-4834-94D3-457BD56CDF8A}">
  <cacheSource type="external" connectionId="10"/>
  <cacheFields count="2">
    <cacheField name="[Calendar].[Month].[Month]" caption="Month" numFmtId="0" hierarchy="11" level="1">
      <sharedItems count="12">
        <s v="January"/>
        <s v="February"/>
        <s v="March"/>
        <s v="April"/>
        <s v="May"/>
        <s v="June"/>
        <s v="July"/>
        <s v="August"/>
        <s v="September"/>
        <s v="October"/>
        <s v="November"/>
        <s v="December"/>
      </sharedItems>
    </cacheField>
    <cacheField name="[Measures].[Total sales]" caption="Total sales" numFmtId="0" hierarchy="35" level="32767"/>
  </cacheFields>
  <cacheHierarchies count="45">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Brands].[BrandName]" caption="BrandName" attribute="1" defaultMemberUniqueName="[Brands].[BrandName].[All]" allUniqueName="[Brands].[BrandName].[All]" dimensionUniqueName="[Brands]" displayFolder="" count="2" memberValueDatatype="130" unbalanced="0"/>
    <cacheHierarchy uniqueName="[Brands].[BrandID]" caption="BrandID" attribute="1" defaultMemberUniqueName="[Brands].[BrandID].[All]" allUniqueName="[Brands].[BrandID].[All]" dimensionUniqueName="[Brand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2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1"/>
      </fieldsUsage>
    </cacheHierarchy>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رزان احمد" refreshedDate="46003.643865393518" backgroundQuery="1" createdVersion="8" refreshedVersion="8" minRefreshableVersion="3" recordCount="0" supportSubquery="1" supportAdvancedDrill="1" xr:uid="{21FA6251-94FE-4AB8-A844-0621031ECAFC}">
  <cacheSource type="external" connectionId="10"/>
  <cacheFields count="3">
    <cacheField name="[Branches].[BranchName].[BranchName]" caption="BranchName" numFmtId="0" hierarchy="1" level="1">
      <sharedItems count="5">
        <s v="Branch 1"/>
        <s v="Branch 2"/>
        <s v="Branch 3"/>
        <s v="Branch 4"/>
        <s v="Branch 5"/>
      </sharedItems>
    </cacheField>
    <cacheField name="[Measures].[Total sales]" caption="Total sales" numFmtId="0" hierarchy="35" level="32767"/>
    <cacheField name="[Calendar].[Month].[Month]" caption="Month" numFmtId="0" hierarchy="11" level="1">
      <sharedItems containsSemiMixedTypes="0" containsNonDate="0" containsString="0"/>
    </cacheField>
  </cacheFields>
  <cacheHierarchies count="45">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0"/>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Brands].[BrandName]" caption="BrandName" attribute="1" defaultMemberUniqueName="[Brands].[BrandName].[All]" allUniqueName="[Brands].[BrandName].[All]" dimensionUniqueName="[Brands]" displayFolder="" count="2" memberValueDatatype="130" unbalanced="0"/>
    <cacheHierarchy uniqueName="[Brands].[BrandID]" caption="BrandID" attribute="1" defaultMemberUniqueName="[Brands].[BrandID].[All]" allUniqueName="[Brands].[BrandID].[All]" dimensionUniqueName="[Brand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2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1"/>
      </fieldsUsage>
    </cacheHierarchy>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رزان احمد" refreshedDate="46003.643865972219" backgroundQuery="1" createdVersion="8" refreshedVersion="8" minRefreshableVersion="3" recordCount="0" supportSubquery="1" supportAdvancedDrill="1" xr:uid="{7C8376C4-0F30-4282-A80B-3B5433BDFE68}">
  <cacheSource type="external" connectionId="10"/>
  <cacheFields count="3">
    <cacheField name="[PaymentMethods].[PaymentMethod].[PaymentMethod]" caption="PaymentMethod" numFmtId="0" hierarchy="21" level="1">
      <sharedItems count="4">
        <s v="Bank Transfer"/>
        <s v="Cash"/>
        <s v="Credit Card"/>
        <s v="PayPal"/>
      </sharedItems>
    </cacheField>
    <cacheField name="[Measures].[Total sales]" caption="Total sales" numFmtId="0" hierarchy="35" level="32767"/>
    <cacheField name="[Calendar].[Month].[Month]" caption="Month" numFmtId="0" hierarchy="11" level="1">
      <sharedItems containsSemiMixedTypes="0" containsNonDate="0" containsString="0"/>
    </cacheField>
  </cacheFields>
  <cacheHierarchies count="45">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Brands].[BrandName]" caption="BrandName" attribute="1" defaultMemberUniqueName="[Brands].[BrandName].[All]" allUniqueName="[Brands].[BrandName].[All]" dimensionUniqueName="[Brands]" displayFolder="" count="2" memberValueDatatype="130" unbalanced="0"/>
    <cacheHierarchy uniqueName="[Brands].[BrandID]" caption="BrandID" attribute="1" defaultMemberUniqueName="[Brands].[BrandID].[All]" allUniqueName="[Brands].[BrandID].[All]" dimensionUniqueName="[Brand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2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1"/>
      </fieldsUsage>
    </cacheHierarchy>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رزان احمد" refreshedDate="46003.643866666665" backgroundQuery="1" createdVersion="8" refreshedVersion="8" minRefreshableVersion="3" recordCount="0" supportSubquery="1" supportAdvancedDrill="1" xr:uid="{2CA177B5-1BE3-4157-AEF0-6B6DFDAD98AF}">
  <cacheSource type="external" connectionId="10"/>
  <cacheFields count="4">
    <cacheField name="[Products].[Category].[Category]" caption="Category" numFmtId="0" hierarchy="24" level="1">
      <sharedItems count="5">
        <s v="Beauty"/>
        <s v="Electronics"/>
        <s v="Fashion"/>
        <s v="Home"/>
        <s v="Sports"/>
      </sharedItems>
    </cacheField>
    <cacheField name="[Brands].[BrandName].[BrandName]" caption="BrandName" numFmtId="0" hierarchy="5" level="1">
      <sharedItems count="5">
        <s v="Brand A"/>
        <s v="Brand B"/>
        <s v="Brand C"/>
        <s v="Brand D"/>
        <s v="Brand E"/>
      </sharedItems>
    </cacheField>
    <cacheField name="[Measures].[Total sales]" caption="Total sales" numFmtId="0" hierarchy="35" level="32767"/>
    <cacheField name="[Calendar].[Month].[Month]" caption="Month" numFmtId="0" hierarchy="11" level="1">
      <sharedItems containsSemiMixedTypes="0" containsNonDate="0" containsString="0"/>
    </cacheField>
  </cacheFields>
  <cacheHierarchies count="45">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1"/>
      </fieldsUsage>
    </cacheHierarchy>
    <cacheHierarchy uniqueName="[Brands].[BrandID]" caption="BrandID" attribute="1" defaultMemberUniqueName="[Brands].[BrandID].[All]" allUniqueName="[Brands].[BrandID].[All]" dimensionUniqueName="[Brand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3"/>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2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2"/>
      </fieldsUsage>
    </cacheHierarchy>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رزان احمد" refreshedDate="46003.643867013889" backgroundQuery="1" createdVersion="8" refreshedVersion="8" minRefreshableVersion="3" recordCount="0" supportSubquery="1" supportAdvancedDrill="1" xr:uid="{C554376F-924E-4B66-8B9A-22145F84D3F7}">
  <cacheSource type="external" connectionId="10"/>
  <cacheFields count="2">
    <cacheField name="[Measures].[Total sales]" caption="Total sales" numFmtId="0" hierarchy="35" level="32767"/>
    <cacheField name="[Calendar].[Month].[Month]" caption="Month" numFmtId="0" hierarchy="11" level="1">
      <sharedItems containsSemiMixedTypes="0" containsNonDate="0" containsString="0"/>
    </cacheField>
  </cacheFields>
  <cacheHierarchies count="45">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Brands].[BrandName]" caption="BrandName" attribute="1" defaultMemberUniqueName="[Brands].[BrandName].[All]" allUniqueName="[Brands].[BrandName].[All]" dimensionUniqueName="[Brands]" displayFolder="" count="2" memberValueDatatype="130" unbalanced="0"/>
    <cacheHierarchy uniqueName="[Brands].[BrandID]" caption="BrandID" attribute="1" defaultMemberUniqueName="[Brands].[BrandID].[All]" allUniqueName="[Brands].[BrandID].[All]" dimensionUniqueName="[Brand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2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oneField="1">
      <fieldsUsage count="1">
        <fieldUsage x="0"/>
      </fieldsUsage>
    </cacheHierarchy>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رزان احمد" refreshedDate="46003.643867245373" backgroundQuery="1" createdVersion="8" refreshedVersion="8" minRefreshableVersion="3" recordCount="0" supportSubquery="1" supportAdvancedDrill="1" xr:uid="{B1B30631-6CB6-45B4-936A-FBFC4621D170}">
  <cacheSource type="external" connectionId="10"/>
  <cacheFields count="2">
    <cacheField name="[Measures].[Active Customers]" caption="Active Customers" numFmtId="0" hierarchy="36" level="32767"/>
    <cacheField name="[Calendar].[Month].[Month]" caption="Month" numFmtId="0" hierarchy="11" level="1">
      <sharedItems containsSemiMixedTypes="0" containsNonDate="0" containsString="0"/>
    </cacheField>
  </cacheFields>
  <cacheHierarchies count="45">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Brands].[BrandName]" caption="BrandName" attribute="1" defaultMemberUniqueName="[Brands].[BrandName].[All]" allUniqueName="[Brands].[BrandName].[All]" dimensionUniqueName="[Brands]" displayFolder="" count="2" memberValueDatatype="130" unbalanced="0"/>
    <cacheHierarchy uniqueName="[Brands].[BrandID]" caption="BrandID" attribute="1" defaultMemberUniqueName="[Brands].[BrandID].[All]" allUniqueName="[Brands].[BrandID].[All]" dimensionUniqueName="[Brand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2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cacheHierarchy uniqueName="[Measures].[Active Customers]" caption="Active Customers" measure="1" displayFolder="" measureGroup="Sales All" count="0" oneField="1">
      <fieldsUsage count="1">
        <fieldUsage x="0"/>
      </fieldsUsage>
    </cacheHierarchy>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All" uniqueName="[Sales All]" caption="Sales All"/>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All" caption="Sales 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رزان احمد" refreshedDate="45999.966911111114" backgroundQuery="1" createdVersion="3" refreshedVersion="8" minRefreshableVersion="3" recordCount="0" supportSubquery="1" supportAdvancedDrill="1" xr:uid="{6DEA389D-785B-49D3-8173-94B6BB1A6444}">
  <cacheSource type="external" connectionId="10">
    <extLst>
      <ext xmlns:x14="http://schemas.microsoft.com/office/spreadsheetml/2009/9/main" uri="{F057638F-6D5F-4e77-A914-E7F072B9BCA8}">
        <x14:sourceConnection name="ThisWorkbookDataModel"/>
      </ext>
    </extLst>
  </cacheSource>
  <cacheFields count="0"/>
  <cacheHierarchies count="45">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Brands].[BrandName]" caption="BrandName" attribute="1" defaultMemberUniqueName="[Brands].[BrandName].[All]" allUniqueName="[Brands].[BrandName].[All]" dimensionUniqueName="[Brands]" displayFolder="" count="2" memberValueDatatype="130" unbalanced="0"/>
    <cacheHierarchy uniqueName="[Brands].[BrandID]" caption="BrandID" attribute="1" defaultMemberUniqueName="[Brands].[BrandID].[All]" allUniqueName="[Brands].[BrandID].[All]" dimensionUniqueName="[Brands]" displayFolder="" count="0" memberValueDatatype="2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All].[SaleID]" caption="SaleID" attribute="1" defaultMemberUniqueName="[Sales All].[SaleID].[All]" allUniqueName="[Sales All].[SaleID].[All]" dimensionUniqueName="[Sales All]" displayFolder="" count="0" memberValueDatatype="20" unbalanced="0"/>
    <cacheHierarchy uniqueName="[Sales All].[CustomerID]" caption="CustomerID" attribute="1" defaultMemberUniqueName="[Sales All].[CustomerID].[All]" allUniqueName="[Sales All].[CustomerID].[All]" dimensionUniqueName="[Sales All]" displayFolder="" count="0" memberValueDatatype="20" unbalanced="0"/>
    <cacheHierarchy uniqueName="[Sales All].[ProductID]" caption="ProductID" attribute="1" defaultMemberUniqueName="[Sales All].[ProductID].[All]" allUniqueName="[Sales All].[ProductID].[All]" dimensionUniqueName="[Sales All]" displayFolder="" count="0" memberValueDatatype="20" unbalanced="0"/>
    <cacheHierarchy uniqueName="[Sales All].[BranchID]" caption="BranchID" attribute="1" defaultMemberUniqueName="[Sales All].[BranchID].[All]" allUniqueName="[Sales All].[BranchID].[All]" dimensionUniqueName="[Sales All]" displayFolder="" count="0" memberValueDatatype="20" unbalanced="0"/>
    <cacheHierarchy uniqueName="[Sales All].[Date]" caption="Date" attribute="1" time="1" defaultMemberUniqueName="[Sales All].[Date].[All]" allUniqueName="[Sales All].[Date].[All]" dimensionUniqueName="[Sales All]" displayFolder="" count="0" memberValueDatatype="7" unbalanced="0"/>
    <cacheHierarchy uniqueName="[Sales All].[Quantity]" caption="Quantity" attribute="1" defaultMemberUniqueName="[Sales All].[Quantity].[All]" allUniqueName="[Sales All].[Quantity].[All]" dimensionUniqueName="[Sales All]" displayFolder="" count="0" memberValueDatatype="20" unbalanced="0"/>
    <cacheHierarchy uniqueName="[Sales All].[TotalAmount]" caption="TotalAmount" attribute="1" defaultMemberUniqueName="[Sales All].[TotalAmount].[All]" allUniqueName="[Sales All].[TotalAmount].[All]" dimensionUniqueName="[Sales All]" displayFolder="" count="0" memberValueDatatype="5" unbalanced="0"/>
    <cacheHierarchy uniqueName="[Sales All].[PaymentMethod]" caption="PaymentMethod" attribute="1" defaultMemberUniqueName="[Sales All].[PaymentMethod].[All]" allUniqueName="[Sales All].[PaymentMethod].[All]" dimensionUniqueName="[Sales All]" displayFolder="" count="0" memberValueDatatype="130" unbalanced="0"/>
    <cacheHierarchy uniqueName="[Measures].[Total sales]" caption="Total sales" measure="1" displayFolder="" measureGroup="Sales All" count="0"/>
    <cacheHierarchy uniqueName="[Measures].[Active Customers]" caption="Active Customers" measure="1" displayFolder="" measureGroup="Sales All"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All]" caption="__XL_Count Sales All" measure="1" displayFolder="" measureGroup="Sales 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671367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34E7B0-E3DA-49EE-BAB0-5849448FECCC}" name="PivotTable7" cacheId="542" applyNumberFormats="0" applyBorderFormats="0" applyFontFormats="0" applyPatternFormats="0" applyAlignmentFormats="0" applyWidthHeightFormats="1" dataCaption="Values" tag="f07695d1-8b78-46db-951f-7bafb5f2851b" updatedVersion="8" minRefreshableVersion="3" useAutoFormatting="1" subtotalHiddenItems="1" itemPrintTitles="1" createdVersion="8" indent="0" outline="1" outlineData="1" multipleFieldFilters="0">
  <location ref="B19:B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F1EE91-1245-4976-95AE-067E5385D2F8}" name="PivotTable4" cacheId="533" applyNumberFormats="0" applyBorderFormats="0" applyFontFormats="0" applyPatternFormats="0" applyAlignmentFormats="0" applyWidthHeightFormats="1" dataCaption="Values" tag="e453a1d4-ce6e-4c72-b944-1ca4cd3ed10a" updatedVersion="8" minRefreshableVersion="3" useAutoFormatting="1" subtotalHiddenItems="1" itemPrintTitles="1" createdVersion="8" indent="0" outline="1" outlineData="1" multipleFieldFilters="0" chartFormat="7">
  <location ref="Q2:R8"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1"/>
    </i>
    <i>
      <x/>
    </i>
    <i>
      <x v="3"/>
    </i>
    <i>
      <x v="2"/>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CB2CE2-EEAA-45EA-B727-E5E6C7CF2B48}" name="PivotTable1" cacheId="524" applyNumberFormats="0" applyBorderFormats="0" applyFontFormats="0" applyPatternFormats="0" applyAlignmentFormats="0" applyWidthHeightFormats="1" dataCaption="Values" tag="83ca8fe4-bab4-41ec-a961-b75556dad375" updatedVersion="8" minRefreshableVersion="3" useAutoFormatting="1" subtotalHiddenItems="1" itemPrintTitles="1" createdVersion="8" indent="0" outline="1" outlineData="1" multipleFieldFilters="0">
  <location ref="B2:C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pivotHierarchies count="4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Sales All]"/>
        <x15:activeTabTopLevelEntity name="[Branches]"/>
        <x15:activeTabTopLevelEntity name="[Calendar]"/>
        <x15:activeTabTopLevelEntity name="[PaymentMethod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6F77EB-1605-430D-AECF-AD5D543E075C}" name="PivotTable9" cacheId="545" applyNumberFormats="0" applyBorderFormats="0" applyFontFormats="0" applyPatternFormats="0" applyAlignmentFormats="0" applyWidthHeightFormats="1" dataCaption="Values" tag="bf5cc727-9614-43dd-b2f8-24401159c47a" updatedVersion="8" minRefreshableVersion="3" useAutoFormatting="1" subtotalHiddenItems="1" itemPrintTitles="1" createdVersion="8" indent="0" outline="1" outlineData="1" multipleFieldFilters="0">
  <location ref="G19:G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D3A533-7921-447F-82BE-E36F7BD74170}" name="PivotTable3" cacheId="530" applyNumberFormats="0" applyBorderFormats="0" applyFontFormats="0" applyPatternFormats="0" applyAlignmentFormats="0" applyWidthHeightFormats="1" dataCaption="Values" tag="c0a1d513-dc94-4f30-8e6b-1554d519b989" updatedVersion="8" minRefreshableVersion="3" useAutoFormatting="1" subtotalHiddenItems="1" itemPrintTitles="1" createdVersion="8" indent="0" outline="1" outlineData="1" multipleFieldFilters="0" chartFormat="11">
  <location ref="L2:M15"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D9F7D0-93D1-42A7-8A11-7BA306E9CDAC}" name="PivotTable5" cacheId="536" applyNumberFormats="0" applyBorderFormats="0" applyFontFormats="0" applyPatternFormats="0" applyAlignmentFormats="0" applyWidthHeightFormats="1" dataCaption="Values" tag="202b467d-65cf-4e2b-9795-8365dbc2f08c" updatedVersion="8" minRefreshableVersion="3" useAutoFormatting="1" subtotalHiddenItems="1" itemPrintTitles="1" createdVersion="8" indent="0" outline="1" outlineData="1" multipleFieldFilters="0" chartFormat="9">
  <location ref="V2:W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Methods]"/>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6C12D2-2BAC-4B3E-92A7-D81FFCA0211A}" name="PivotTable6" cacheId="539" applyNumberFormats="0" applyBorderFormats="0" applyFontFormats="0" applyPatternFormats="0" applyAlignmentFormats="0" applyWidthHeightFormats="1" dataCaption="Values" tag="65bbd7bf-5ad7-4ba3-91cf-94f988930dac" updatedVersion="8" minRefreshableVersion="3" useAutoFormatting="1" subtotalHiddenItems="1" itemPrintTitles="1" createdVersion="8" indent="0" compact="0" compactData="0" multipleFieldFilters="0" chartFormat="6">
  <location ref="AA2:AG9" firstHeaderRow="1" firstDataRow="2" firstDataCol="1"/>
  <pivotFields count="4">
    <pivotField axis="axisRow" compact="0" allDrilled="1" outline="0" subtotalTop="0"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Col" compact="0" allDrilled="1" outline="0" subtotalTop="0"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6">
    <i>
      <x/>
    </i>
    <i>
      <x v="1"/>
    </i>
    <i>
      <x v="2"/>
    </i>
    <i>
      <x v="3"/>
    </i>
    <i>
      <x v="4"/>
    </i>
    <i t="grand">
      <x/>
    </i>
  </rowItems>
  <colFields count="1">
    <field x="1"/>
  </colFields>
  <colItems count="6">
    <i>
      <x/>
    </i>
    <i>
      <x v="1"/>
    </i>
    <i>
      <x v="2"/>
    </i>
    <i>
      <x v="3"/>
    </i>
    <i>
      <x v="4"/>
    </i>
    <i t="grand">
      <x/>
    </i>
  </colItems>
  <dataFields count="1">
    <dataField fld="2" subtotal="count" baseField="0" baseItem="0"/>
  </dataFields>
  <chartFormats count="5">
    <chartFormat chart="3" format="10" series="1">
      <pivotArea type="data" outline="0" fieldPosition="0">
        <references count="2">
          <reference field="4294967294" count="1" selected="0">
            <x v="0"/>
          </reference>
          <reference field="1" count="1" selected="0">
            <x v="0"/>
          </reference>
        </references>
      </pivotArea>
    </chartFormat>
    <chartFormat chart="3" format="11"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2"/>
          </reference>
        </references>
      </pivotArea>
    </chartFormat>
    <chartFormat chart="3" format="13" series="1">
      <pivotArea type="data" outline="0" fieldPosition="0">
        <references count="2">
          <reference field="4294967294" count="1" selected="0">
            <x v="0"/>
          </reference>
          <reference field="1" count="1" selected="0">
            <x v="3"/>
          </reference>
        </references>
      </pivotArea>
    </chartFormat>
    <chartFormat chart="3" format="14" series="1">
      <pivotArea type="data" outline="0" fieldPosition="0">
        <references count="2">
          <reference field="4294967294" count="1" selected="0">
            <x v="0"/>
          </reference>
          <reference field="1" count="1" selected="0">
            <x v="4"/>
          </reference>
        </references>
      </pivotArea>
    </chartFormat>
  </chartFormats>
  <pivotHierarchies count="4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Products]"/>
        <x15:activeTabTopLevelEntity name="[Brands]"/>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2DA5FC-F528-490F-B16D-2971FFFF6883}" name="PivotTable2" cacheId="527" applyNumberFormats="0" applyBorderFormats="0" applyFontFormats="0" applyPatternFormats="0" applyAlignmentFormats="0" applyWidthHeightFormats="1" dataCaption="Values" tag="7a4be00e-9b4c-4b38-b80b-5bc657aae542" updatedVersion="8" minRefreshableVersion="3" useAutoFormatting="1" subtotalHiddenItems="1" itemPrintTitles="1" createdVersion="8" indent="0" outline="1" outlineData="1" multipleFieldFilters="0">
  <location ref="G2:H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pivotHierarchies count="4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Name" xr10:uid="{CA1F6A88-E8B1-40BB-95F9-B46F2970CE82}" sourceName="[Brands].[BrandName]">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9"/>
  </pivotTables>
  <data>
    <olap pivotCacheId="1467136710">
      <levels count="2">
        <level uniqueName="[Brands].[BrandName].[(All)]" sourceCaption="(All)" count="0"/>
        <level uniqueName="[Brands].[BrandName].[BrandName]" sourceCaption="BrandName" count="5">
          <ranges>
            <range startItem="0">
              <i n="[Brands].[BrandName].&amp;[Brand A]" c="Brand A"/>
              <i n="[Brands].[BrandName].&amp;[Brand B]" c="Brand B"/>
              <i n="[Brands].[BrandName].&amp;[Brand C]" c="Brand C"/>
              <i n="[Brands].[BrandName].&amp;[Brand D]" c="Brand D"/>
              <i n="[Brands].[BrandName].&amp;[Brand E]" c="Brand E"/>
            </range>
          </ranges>
        </level>
      </levels>
      <selections count="1">
        <selection n="[Brands].[Brand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Name" xr10:uid="{2922EAEE-C584-4EBF-953E-6E6DFAC6988D}" sourceName="[Branches].[BranchName]">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9"/>
  </pivotTables>
  <data>
    <olap pivotCacheId="1467136710">
      <levels count="2">
        <level uniqueName="[Branches].[BranchName].[(All)]" sourceCaption="(All)" count="0"/>
        <level uniqueName="[Branches].[BranchName].[BranchName]" sourceCaption="BranchName" count="5">
          <ranges>
            <range startItem="0">
              <i n="[Branches].[BranchName].&amp;[Branch 1]" c="Branch 1"/>
              <i n="[Branches].[BranchName].&amp;[Branch 2]" c="Branch 2"/>
              <i n="[Branches].[BranchName].&amp;[Branch 3]" c="Branch 3"/>
              <i n="[Branches].[BranchName].&amp;[Branch 4]" c="Branch 4"/>
              <i n="[Branches].[BranchName].&amp;[Branch 5]" c="Branch 5"/>
            </range>
          </ranges>
        </level>
      </levels>
      <selections count="1">
        <selection n="[Branches].[Branch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F5DE8F7-C77D-426D-AB0C-4CE56BC27DF2}" sourceName="[Calendar].[Month]">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9"/>
  </pivotTables>
  <data>
    <olap pivotCacheId="1467136710">
      <levels count="2">
        <level uniqueName="[Calendar].[Month].[(All)]" sourceCaption="(All)" count="0"/>
        <level uniqueName="[Calendar].[Month].[Month]" sourceCaption="Month" count="12">
          <ranges>
            <range startItem="0">
              <i n="[Calendar].[Month].&amp;[January]" c="January"/>
              <i n="[Calendar].[Month].&amp;[February]" c="February"/>
              <i n="[Calendar].[Month].&amp;[March]" c="March"/>
              <i n="[Calendar].[Month].&amp;[April]" c="April"/>
              <i n="[Calendar].[Month].&amp;[May]" c="May"/>
              <i n="[Calendar].[Month].&amp;[June]" c="June"/>
              <i n="[Calendar].[Month].&amp;[July]" c="July"/>
              <i n="[Calendar].[Month].&amp;[August]" c="August"/>
              <i n="[Calendar].[Month].&amp;[September]" c="September"/>
              <i n="[Calendar].[Month].&amp;[October]" c="October"/>
              <i n="[Calendar].[Month].&amp;[November]" c="November"/>
              <i n="[Calendar].[Month].&amp;[December]" c="December"/>
            </range>
          </ranges>
        </level>
      </levels>
      <selections count="1">
        <selection n="[Calendar].[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46A3960-5E73-4C04-B383-7E3D97973F09}" sourceName="[Products].[Category]">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9"/>
  </pivotTables>
  <data>
    <olap pivotCacheId="1467136710">
      <levels count="2">
        <level uniqueName="[Products].[Category].[(All)]" sourceCaption="(All)" count="0"/>
        <level uniqueName="[Products].[Category].[Category]" sourceCaption="Category" count="5">
          <ranges>
            <range startItem="0">
              <i n="[Products].[Category].&amp;[Beauty]" c="Beauty"/>
              <i n="[Products].[Category].&amp;[Electronics]" c="Electronics"/>
              <i n="[Products].[Category].&amp;[Fashion]" c="Fashion"/>
              <i n="[Products].[Category].&amp;[Home]" c="Home"/>
              <i n="[Products].[Category].&amp;[Sports]" c="Spor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Name" xr10:uid="{4F7E8487-2033-4E1D-B29B-BAE730E7335C}" cache="Slicer_BrandName" caption="BrandName" columnCount="2" level="1" rowHeight="251883"/>
  <slicer name="BranchName" xr10:uid="{84C5DBAD-EBCA-41B1-9D34-FDF7D065A923}" cache="Slicer_BranchName" caption="BranchName" columnCount="2" level="1" rowHeight="251883"/>
  <slicer name="Month" xr10:uid="{B64A0DAE-E154-4E0B-A77B-C8A1E89A2A43}" cache="Slicer_Month" caption="Month" level="1" rowHeight="251883"/>
  <slicer name="Category" xr10:uid="{91F41A6A-684B-4CF5-964C-C787E460C359}" cache="Slicer_Category" caption="Category" columnCount="2"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F7EF0-E3E7-4B04-858C-D2D38BA2ABDD}">
  <dimension ref="B2:AI20"/>
  <sheetViews>
    <sheetView workbookViewId="0">
      <selection activeCell="G19" sqref="G19"/>
    </sheetView>
  </sheetViews>
  <sheetFormatPr defaultRowHeight="14.5" x14ac:dyDescent="0.35"/>
  <cols>
    <col min="1" max="1" width="5.08984375" customWidth="1"/>
    <col min="2" max="3" width="9.81640625" bestFit="1" customWidth="1"/>
    <col min="4" max="4" width="6.54296875" customWidth="1"/>
    <col min="5" max="5" width="1.6328125" style="3" customWidth="1"/>
    <col min="7" max="7" width="15.54296875" bestFit="1" customWidth="1"/>
    <col min="8" max="8" width="9.81640625" bestFit="1" customWidth="1"/>
    <col min="10" max="10" width="1.6328125" style="3" customWidth="1"/>
    <col min="12" max="12" width="12.453125" bestFit="1" customWidth="1"/>
    <col min="13" max="13" width="9.81640625" bestFit="1" customWidth="1"/>
    <col min="15" max="15" width="1.6328125" style="3" customWidth="1"/>
    <col min="17" max="17" width="12.453125" bestFit="1" customWidth="1"/>
    <col min="18" max="18" width="9.81640625" bestFit="1" customWidth="1"/>
    <col min="20" max="20" width="1.6328125" style="3" customWidth="1"/>
    <col min="22" max="22" width="12.453125" bestFit="1" customWidth="1"/>
    <col min="23" max="23" width="9.81640625" bestFit="1" customWidth="1"/>
    <col min="25" max="25" width="1.6328125" style="3" customWidth="1"/>
    <col min="27" max="27" width="10.453125" bestFit="1" customWidth="1"/>
    <col min="28" max="32" width="12.90625" bestFit="1" customWidth="1"/>
    <col min="33" max="33" width="10.36328125" bestFit="1" customWidth="1"/>
    <col min="35" max="35" width="1.6328125" style="3" customWidth="1"/>
  </cols>
  <sheetData>
    <row r="2" spans="2:33" x14ac:dyDescent="0.35">
      <c r="B2" s="1" t="s">
        <v>0</v>
      </c>
      <c r="C2" t="s">
        <v>7</v>
      </c>
      <c r="G2" s="1" t="s">
        <v>0</v>
      </c>
      <c r="H2" t="s">
        <v>7</v>
      </c>
      <c r="L2" s="1" t="s">
        <v>0</v>
      </c>
      <c r="M2" t="s">
        <v>7</v>
      </c>
      <c r="Q2" s="1" t="s">
        <v>0</v>
      </c>
      <c r="R2" t="s">
        <v>7</v>
      </c>
      <c r="V2" s="1" t="s">
        <v>0</v>
      </c>
      <c r="W2" t="s">
        <v>7</v>
      </c>
      <c r="AA2" s="1" t="s">
        <v>7</v>
      </c>
      <c r="AB2" s="1" t="s">
        <v>35</v>
      </c>
    </row>
    <row r="3" spans="2:33" x14ac:dyDescent="0.35">
      <c r="B3" s="2" t="s">
        <v>1</v>
      </c>
      <c r="C3" s="5">
        <v>164291.51</v>
      </c>
      <c r="G3" s="2" t="s">
        <v>9</v>
      </c>
      <c r="H3" s="5">
        <v>187779.34</v>
      </c>
      <c r="L3" s="2" t="s">
        <v>14</v>
      </c>
      <c r="M3" s="5">
        <v>97353.21</v>
      </c>
      <c r="Q3" s="2" t="s">
        <v>30</v>
      </c>
      <c r="R3" s="5">
        <v>182583.18</v>
      </c>
      <c r="V3" s="2" t="s">
        <v>31</v>
      </c>
      <c r="W3" s="5">
        <v>224207.86</v>
      </c>
      <c r="AA3" s="1" t="s">
        <v>34</v>
      </c>
      <c r="AB3" t="s">
        <v>1</v>
      </c>
      <c r="AC3" t="s">
        <v>2</v>
      </c>
      <c r="AD3" t="s">
        <v>3</v>
      </c>
      <c r="AE3" t="s">
        <v>4</v>
      </c>
      <c r="AF3" t="s">
        <v>5</v>
      </c>
      <c r="AG3" t="s">
        <v>6</v>
      </c>
    </row>
    <row r="4" spans="2:33" x14ac:dyDescent="0.35">
      <c r="B4" s="2" t="s">
        <v>2</v>
      </c>
      <c r="C4" s="5">
        <v>212339.25</v>
      </c>
      <c r="G4" s="2" t="s">
        <v>10</v>
      </c>
      <c r="H4" s="5">
        <v>200355.14</v>
      </c>
      <c r="L4" s="2" t="s">
        <v>15</v>
      </c>
      <c r="M4" s="5">
        <v>83658.13</v>
      </c>
      <c r="Q4" s="2" t="s">
        <v>27</v>
      </c>
      <c r="R4" s="5">
        <v>186559.72</v>
      </c>
      <c r="V4" s="2" t="s">
        <v>32</v>
      </c>
      <c r="W4" s="5">
        <v>233038.02</v>
      </c>
      <c r="AA4" t="s">
        <v>9</v>
      </c>
      <c r="AB4" s="5">
        <v>16945.87</v>
      </c>
      <c r="AC4" s="5">
        <v>47719.63</v>
      </c>
      <c r="AD4" s="5">
        <v>37907.71</v>
      </c>
      <c r="AE4" s="5">
        <v>48230.21</v>
      </c>
      <c r="AF4" s="5">
        <v>36975.919999999998</v>
      </c>
      <c r="AG4" s="5">
        <v>187779.34</v>
      </c>
    </row>
    <row r="5" spans="2:33" x14ac:dyDescent="0.35">
      <c r="B5" s="2" t="s">
        <v>3</v>
      </c>
      <c r="C5" s="5">
        <v>196291.54</v>
      </c>
      <c r="G5" s="2" t="s">
        <v>11</v>
      </c>
      <c r="H5" s="5">
        <v>221302.03</v>
      </c>
      <c r="L5" s="2" t="s">
        <v>16</v>
      </c>
      <c r="M5" s="5">
        <v>76986.91</v>
      </c>
      <c r="Q5" s="2" t="s">
        <v>26</v>
      </c>
      <c r="R5" s="5">
        <v>199602.78</v>
      </c>
      <c r="V5" s="2" t="s">
        <v>8</v>
      </c>
      <c r="W5" s="5">
        <v>248972.84</v>
      </c>
      <c r="AA5" t="s">
        <v>10</v>
      </c>
      <c r="AB5" s="5">
        <v>40237.67</v>
      </c>
      <c r="AC5" s="5">
        <v>32167.33</v>
      </c>
      <c r="AD5" s="5">
        <v>45580.26</v>
      </c>
      <c r="AE5" s="5">
        <v>50415.79</v>
      </c>
      <c r="AF5" s="5">
        <v>31954.09</v>
      </c>
      <c r="AG5" s="5">
        <v>200355.14</v>
      </c>
    </row>
    <row r="6" spans="2:33" x14ac:dyDescent="0.35">
      <c r="B6" s="2" t="s">
        <v>4</v>
      </c>
      <c r="C6" s="5">
        <v>219828.31</v>
      </c>
      <c r="G6" s="2" t="s">
        <v>12</v>
      </c>
      <c r="H6" s="5">
        <v>184997.63</v>
      </c>
      <c r="L6" s="2" t="s">
        <v>17</v>
      </c>
      <c r="M6" s="5">
        <v>78257.009999999995</v>
      </c>
      <c r="Q6" s="2" t="s">
        <v>29</v>
      </c>
      <c r="R6" s="5">
        <v>200794.31</v>
      </c>
      <c r="V6" s="2" t="s">
        <v>33</v>
      </c>
      <c r="W6" s="5">
        <v>268474.44</v>
      </c>
      <c r="AA6" t="s">
        <v>11</v>
      </c>
      <c r="AB6" s="5">
        <v>37171.54</v>
      </c>
      <c r="AC6" s="5">
        <v>66804.320000000007</v>
      </c>
      <c r="AD6" s="5">
        <v>42232.26</v>
      </c>
      <c r="AE6" s="5">
        <v>36409.85</v>
      </c>
      <c r="AF6" s="5">
        <v>38684.06</v>
      </c>
      <c r="AG6" s="5">
        <v>221302.03</v>
      </c>
    </row>
    <row r="7" spans="2:33" x14ac:dyDescent="0.35">
      <c r="B7" s="2" t="s">
        <v>5</v>
      </c>
      <c r="C7" s="5">
        <v>181942.55</v>
      </c>
      <c r="G7" s="2" t="s">
        <v>13</v>
      </c>
      <c r="H7" s="5">
        <v>180259.02</v>
      </c>
      <c r="L7" s="2" t="s">
        <v>18</v>
      </c>
      <c r="M7" s="5">
        <v>75055.47</v>
      </c>
      <c r="Q7" s="2" t="s">
        <v>28</v>
      </c>
      <c r="R7" s="5">
        <v>205153.17</v>
      </c>
      <c r="V7" s="2" t="s">
        <v>6</v>
      </c>
      <c r="W7" s="5">
        <v>974693.16</v>
      </c>
      <c r="AA7" t="s">
        <v>12</v>
      </c>
      <c r="AB7" s="5">
        <v>33578.839999999997</v>
      </c>
      <c r="AC7" s="5">
        <v>38963.07</v>
      </c>
      <c r="AD7" s="5">
        <v>34144.01</v>
      </c>
      <c r="AE7" s="5">
        <v>36480.61</v>
      </c>
      <c r="AF7" s="5">
        <v>41831.1</v>
      </c>
      <c r="AG7" s="5">
        <v>184997.63</v>
      </c>
    </row>
    <row r="8" spans="2:33" x14ac:dyDescent="0.35">
      <c r="B8" s="2" t="s">
        <v>6</v>
      </c>
      <c r="C8" s="5">
        <v>974693.16</v>
      </c>
      <c r="G8" s="2" t="s">
        <v>6</v>
      </c>
      <c r="H8" s="5">
        <v>974693.16</v>
      </c>
      <c r="L8" s="2" t="s">
        <v>19</v>
      </c>
      <c r="M8" s="5">
        <v>78715.960000000006</v>
      </c>
      <c r="Q8" s="2" t="s">
        <v>6</v>
      </c>
      <c r="R8" s="5">
        <v>974693.16</v>
      </c>
      <c r="AA8" t="s">
        <v>13</v>
      </c>
      <c r="AB8" s="5">
        <v>36357.589999999997</v>
      </c>
      <c r="AC8" s="5">
        <v>26684.9</v>
      </c>
      <c r="AD8" s="5">
        <v>36427.300000000003</v>
      </c>
      <c r="AE8" s="5">
        <v>48291.85</v>
      </c>
      <c r="AF8" s="5">
        <v>32497.38</v>
      </c>
      <c r="AG8" s="5">
        <v>180259.02</v>
      </c>
    </row>
    <row r="9" spans="2:33" x14ac:dyDescent="0.35">
      <c r="L9" s="2" t="s">
        <v>20</v>
      </c>
      <c r="M9" s="5">
        <v>81131.67</v>
      </c>
      <c r="AA9" t="s">
        <v>6</v>
      </c>
      <c r="AB9" s="5">
        <v>164291.51</v>
      </c>
      <c r="AC9" s="5">
        <v>212339.25</v>
      </c>
      <c r="AD9" s="5">
        <v>196291.54</v>
      </c>
      <c r="AE9" s="5">
        <v>219828.31</v>
      </c>
      <c r="AF9" s="5">
        <v>181942.55</v>
      </c>
      <c r="AG9" s="5">
        <v>974693.16</v>
      </c>
    </row>
    <row r="10" spans="2:33" x14ac:dyDescent="0.35">
      <c r="L10" s="2" t="s">
        <v>21</v>
      </c>
      <c r="M10" s="5">
        <v>94159.32</v>
      </c>
    </row>
    <row r="11" spans="2:33" x14ac:dyDescent="0.35">
      <c r="L11" s="2" t="s">
        <v>22</v>
      </c>
      <c r="M11" s="5">
        <v>76538.83</v>
      </c>
    </row>
    <row r="12" spans="2:33" x14ac:dyDescent="0.35">
      <c r="L12" s="2" t="s">
        <v>23</v>
      </c>
      <c r="M12" s="5">
        <v>83520.679999999993</v>
      </c>
    </row>
    <row r="13" spans="2:33" x14ac:dyDescent="0.35">
      <c r="L13" s="2" t="s">
        <v>24</v>
      </c>
      <c r="M13" s="5">
        <v>74302.64</v>
      </c>
    </row>
    <row r="14" spans="2:33" x14ac:dyDescent="0.35">
      <c r="L14" s="2" t="s">
        <v>25</v>
      </c>
      <c r="M14" s="5">
        <v>75013.33</v>
      </c>
    </row>
    <row r="15" spans="2:33" x14ac:dyDescent="0.35">
      <c r="L15" s="2" t="s">
        <v>6</v>
      </c>
      <c r="M15" s="5">
        <v>974693.16</v>
      </c>
    </row>
    <row r="19" spans="2:7" x14ac:dyDescent="0.35">
      <c r="B19" t="s">
        <v>7</v>
      </c>
      <c r="G19" t="s">
        <v>36</v>
      </c>
    </row>
    <row r="20" spans="2:7" x14ac:dyDescent="0.35">
      <c r="B20" s="5">
        <v>974693.16</v>
      </c>
      <c r="G20" s="5">
        <v>638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5C1D9-F9C6-47BB-9F3B-F4BB40FA3765}">
  <dimension ref="A1"/>
  <sheetViews>
    <sheetView showGridLines="0" rightToLeft="1" tabSelected="1" zoomScale="60" zoomScaleNormal="60" workbookViewId="0">
      <selection activeCell="AC19" sqref="AC19"/>
    </sheetView>
  </sheetViews>
  <sheetFormatPr defaultRowHeight="14.5" x14ac:dyDescent="0.35"/>
  <cols>
    <col min="1" max="16384" width="8.7265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BECAAEC-C208-46F3-B37C-60CC4221FBE5}">
  <ds:schemaRefs/>
</ds:datastoreItem>
</file>

<file path=customXml/itemProps2.xml><?xml version="1.0" encoding="utf-8"?>
<ds:datastoreItem xmlns:ds="http://schemas.openxmlformats.org/officeDocument/2006/customXml" ds:itemID="{647C83A8-A13D-4B06-887B-02050D80F83C}">
  <ds:schemaRefs/>
</ds:datastoreItem>
</file>

<file path=customXml/itemProps3.xml><?xml version="1.0" encoding="utf-8"?>
<ds:datastoreItem xmlns:ds="http://schemas.openxmlformats.org/officeDocument/2006/customXml" ds:itemID="{4156F8A1-99E3-41CD-B263-A7B1EB655FB0}">
  <ds:schemaRefs/>
</ds:datastoreItem>
</file>

<file path=customXml/itemProps4.xml><?xml version="1.0" encoding="utf-8"?>
<ds:datastoreItem xmlns:ds="http://schemas.openxmlformats.org/officeDocument/2006/customXml" ds:itemID="{87DD80B6-9089-452E-AED2-BB22B689CBA6}">
  <ds:schemaRefs/>
</ds:datastoreItem>
</file>

<file path=customXml/itemProps5.xml><?xml version="1.0" encoding="utf-8"?>
<ds:datastoreItem xmlns:ds="http://schemas.openxmlformats.org/officeDocument/2006/customXml" ds:itemID="{A9FCBE19-F382-4DDE-AA24-21601BFC1644}">
  <ds:schemaRefs>
    <ds:schemaRef ds:uri="http://schemas.microsoft.com/DataMashup"/>
  </ds:schemaRefs>
</ds:datastoreItem>
</file>

<file path=customXml/itemProps6.xml><?xml version="1.0" encoding="utf-8"?>
<ds:datastoreItem xmlns:ds="http://schemas.openxmlformats.org/officeDocument/2006/customXml" ds:itemID="{76F08A4B-35F5-4AF1-8D0A-9A5D5038FCA5}">
  <ds:schemaRefs/>
</ds:datastoreItem>
</file>

<file path=customXml/itemProps7.xml><?xml version="1.0" encoding="utf-8"?>
<ds:datastoreItem xmlns:ds="http://schemas.openxmlformats.org/officeDocument/2006/customXml" ds:itemID="{B1F368E4-3726-40F3-BD71-28166F3AF7CE}">
  <ds:schemaRefs/>
</ds:datastoreItem>
</file>

<file path=customXml/itemProps8.xml><?xml version="1.0" encoding="utf-8"?>
<ds:datastoreItem xmlns:ds="http://schemas.openxmlformats.org/officeDocument/2006/customXml" ds:itemID="{76E2C8F7-3AA7-45AE-81B9-18434619AB45}">
  <ds:schemaRefs/>
</ds:datastoreItem>
</file>

<file path=customXml/itemProps9.xml><?xml version="1.0" encoding="utf-8"?>
<ds:datastoreItem xmlns:ds="http://schemas.openxmlformats.org/officeDocument/2006/customXml" ds:itemID="{2FBAE96B-CCA2-445D-B0D8-B5FDC1D632CE}">
  <ds:schemaRefs/>
</ds:datastoreItem>
</file>

<file path=customXml/itemProps10.xml><?xml version="1.0" encoding="utf-8"?>
<ds:datastoreItem xmlns:ds="http://schemas.openxmlformats.org/officeDocument/2006/customXml" ds:itemID="{5906A2C3-BF7D-4B3B-B73D-ADF8FDD1E400}">
  <ds:schemaRefs/>
</ds:datastoreItem>
</file>

<file path=customXml/itemProps11.xml><?xml version="1.0" encoding="utf-8"?>
<ds:datastoreItem xmlns:ds="http://schemas.openxmlformats.org/officeDocument/2006/customXml" ds:itemID="{9B689956-E167-4C38-96A0-1D39FDDE7BA3}">
  <ds:schemaRefs/>
</ds:datastoreItem>
</file>

<file path=customXml/itemProps12.xml><?xml version="1.0" encoding="utf-8"?>
<ds:datastoreItem xmlns:ds="http://schemas.openxmlformats.org/officeDocument/2006/customXml" ds:itemID="{8BF20929-A23D-4ACC-A737-EC17B4F79068}">
  <ds:schemaRefs/>
</ds:datastoreItem>
</file>

<file path=customXml/itemProps13.xml><?xml version="1.0" encoding="utf-8"?>
<ds:datastoreItem xmlns:ds="http://schemas.openxmlformats.org/officeDocument/2006/customXml" ds:itemID="{8D097C23-0EEA-4542-98D8-64A3200496C5}">
  <ds:schemaRefs/>
</ds:datastoreItem>
</file>

<file path=customXml/itemProps14.xml><?xml version="1.0" encoding="utf-8"?>
<ds:datastoreItem xmlns:ds="http://schemas.openxmlformats.org/officeDocument/2006/customXml" ds:itemID="{BD9723DB-B877-48E4-B733-62864AA5D5D8}">
  <ds:schemaRefs/>
</ds:datastoreItem>
</file>

<file path=customXml/itemProps15.xml><?xml version="1.0" encoding="utf-8"?>
<ds:datastoreItem xmlns:ds="http://schemas.openxmlformats.org/officeDocument/2006/customXml" ds:itemID="{D26C73FF-47E0-4522-B9C9-20EF53804186}">
  <ds:schemaRefs/>
</ds:datastoreItem>
</file>

<file path=customXml/itemProps16.xml><?xml version="1.0" encoding="utf-8"?>
<ds:datastoreItem xmlns:ds="http://schemas.openxmlformats.org/officeDocument/2006/customXml" ds:itemID="{E6DE1595-6552-4B80-B07E-C6A4D66A08E7}">
  <ds:schemaRefs/>
</ds:datastoreItem>
</file>

<file path=customXml/itemProps17.xml><?xml version="1.0" encoding="utf-8"?>
<ds:datastoreItem xmlns:ds="http://schemas.openxmlformats.org/officeDocument/2006/customXml" ds:itemID="{FFEC9939-483E-4D1C-B821-F9D1C71A9C1D}">
  <ds:schemaRefs/>
</ds:datastoreItem>
</file>

<file path=customXml/itemProps18.xml><?xml version="1.0" encoding="utf-8"?>
<ds:datastoreItem xmlns:ds="http://schemas.openxmlformats.org/officeDocument/2006/customXml" ds:itemID="{0FAFC150-A6C8-4A3A-9F8C-5F70FA3AF2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رزان احمد</dc:creator>
  <cp:lastModifiedBy>رزان احمد</cp:lastModifiedBy>
  <dcterms:created xsi:type="dcterms:W3CDTF">2025-12-08T17:55:26Z</dcterms:created>
  <dcterms:modified xsi:type="dcterms:W3CDTF">2025-12-12T12:27:21Z</dcterms:modified>
</cp:coreProperties>
</file>